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est Cases" sheetId="2" state="visible" r:id="rId4"/>
    <sheet name="Module Coverage" sheetId="3" state="visible" r:id="rId5"/>
    <sheet name="Security Findings" sheetId="4" state="visible" r:id="rId6"/>
  </sheets>
  <definedNames>
    <definedName function="false" hidden="true" localSheetId="2" name="_xlnm._FilterDatabase" vbProcedure="false">'Module Coverage'!$A$1:$J$32</definedName>
    <definedName function="false" hidden="true" localSheetId="1" name="_xlnm._FilterDatabase" vbProcedure="false">'Test Cases'!$A$1:$I$43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<sst xmlns="http://schemas.openxmlformats.org/spreadsheetml/2006/main" count="810" uniqueCount="372">
  <si>
    <t xml:space="preserve">Multi-Tenant Auth App — Validation Report (Phase 3)</t>
  </si>
  <si>
    <t xml:space="preserve">Scope: Super-admin session. Master Data + Auth. Tenant-side authorization &amp; security chains: NOT yet executed (see Security sheet).</t>
  </si>
  <si>
    <t xml:space="preserve">Result counts (live from Test Cases sheet)</t>
  </si>
  <si>
    <t xml:space="preserve">Status</t>
  </si>
  <si>
    <t xml:space="preserve">Count</t>
  </si>
  <si>
    <t xml:space="preserve">PASS</t>
  </si>
  <si>
    <t xml:space="preserve">PASS* (partial)</t>
  </si>
  <si>
    <t xml:space="preserve">DEFECT / FAIL</t>
  </si>
  <si>
    <t xml:space="preserve">PENDING</t>
  </si>
  <si>
    <t xml:space="preserve">TOTAL executed</t>
  </si>
  <si>
    <t xml:space="preserve">Defects summary</t>
  </si>
  <si>
    <t xml:space="preserve">ID</t>
  </si>
  <si>
    <t xml:space="preserve">Area</t>
  </si>
  <si>
    <t xml:space="preserve">Severity</t>
  </si>
  <si>
    <t xml:space="preserve">Issue</t>
  </si>
  <si>
    <t xml:space="preserve">F-5</t>
  </si>
  <si>
    <t xml:space="preserve">Master Data grid (DataTable)</t>
  </si>
  <si>
    <t xml:space="preserve">High</t>
  </si>
  <si>
    <t xml:space="preserve">Null reference value crashes whole grid (typeof null==='object' then value.Lat); no error boundary.</t>
  </si>
  <si>
    <t xml:space="preserve">F-1</t>
  </si>
  <si>
    <t xml:space="preserve">paymentBreakups create</t>
  </si>
  <si>
    <t xml:space="preserve">POST with all valid FKs -&gt; 500 Internal Server Error (create broken).</t>
  </si>
  <si>
    <t xml:space="preserve">F-2</t>
  </si>
  <si>
    <t xml:space="preserve">branchUserGroupMappers</t>
  </si>
  <si>
    <t xml:space="preserve">FE free-text UserGroupId vs BE GUID (400); valid GUID -&gt; 500 (FK violation unhandled).</t>
  </si>
  <si>
    <t xml:space="preserve">F-3</t>
  </si>
  <si>
    <t xml:space="preserve">addressDetails/branchDetails +peers</t>
  </si>
  <si>
    <t xml:space="preserve">Medium</t>
  </si>
  <si>
    <t xml:space="preserve">Missing DB-required FK -&gt; 500 instead of 400.</t>
  </si>
  <si>
    <t xml:space="preserve">F-4</t>
  </si>
  <si>
    <t xml:space="preserve">Inline + reference component</t>
  </si>
  <si>
    <t xml:space="preserve">Low</t>
  </si>
  <si>
    <t xml:space="preserve">Newly inline-created record not auto-selected in dropdown (UX).</t>
  </si>
  <si>
    <t xml:space="preserve">Category</t>
  </si>
  <si>
    <t xml:space="preserve">Module</t>
  </si>
  <si>
    <t xml:space="preserve">Test Case (Description)</t>
  </si>
  <si>
    <t xml:space="preserve">Steps</t>
  </si>
  <si>
    <t xml:space="preserve">Expected Result</t>
  </si>
  <si>
    <t xml:space="preserve">Actual Result</t>
  </si>
  <si>
    <t xml:space="preserve">TC-A01</t>
  </si>
  <si>
    <t xml:space="preserve">Auth</t>
  </si>
  <si>
    <t xml:space="preserve">Login</t>
  </si>
  <si>
    <t xml:space="preserve">App reachability</t>
  </si>
  <si>
    <t xml:space="preserve">1) Open http://localhost:3000/login 2) GET http://localhost:3001/</t>
  </si>
  <si>
    <t xml:space="preserve">Login page renders w/ Google button; backend root 200</t>
  </si>
  <si>
    <t xml:space="preserve">Both load; backend 200</t>
  </si>
  <si>
    <t xml:space="preserve">-</t>
  </si>
  <si>
    <t xml:space="preserve">TC-A02</t>
  </si>
  <si>
    <t xml:space="preserve">API</t>
  </si>
  <si>
    <t xml:space="preserve">Unauthenticated API rejected</t>
  </si>
  <si>
    <t xml:space="preserve">1) Call GET /api/admin/users and /api/taxtypes with no token</t>
  </si>
  <si>
    <t xml:space="preserve">401 Unauthorized</t>
  </si>
  <si>
    <t xml:space="preserve">Both 401</t>
  </si>
  <si>
    <t xml:space="preserve">TC-A03</t>
  </si>
  <si>
    <t xml:space="preserve">Super-admin Google login</t>
  </si>
  <si>
    <t xml:space="preserve">1) Click Sign in with Google 2) Complete Google auth 3) Decode app_token cookie</t>
  </si>
  <si>
    <t xml:space="preserve">Redirect to /dashboard; JWT has tid, TENANT:SUPER_ADMIN, role SUPER_ADMIN</t>
  </si>
  <si>
    <t xml:space="preserve">Logged in; scopes/roles correct; TTL 60m</t>
  </si>
  <si>
    <t xml:space="preserve">TC-A04</t>
  </si>
  <si>
    <t xml:space="preserve">Super-admin privileged endpoints</t>
  </si>
  <si>
    <t xml:space="preserve">1) GET /api/data/settings, /api/reports, /api/reports/billing, /api/audit/logs</t>
  </si>
  <si>
    <t xml:space="preserve">200 (super-admin bypass)</t>
  </si>
  <si>
    <t xml:space="preserve">All 200</t>
  </si>
  <si>
    <t xml:space="preserve">TC-A05</t>
  </si>
  <si>
    <t xml:space="preserve">Session</t>
  </si>
  <si>
    <t xml:space="preserve">Session expiry</t>
  </si>
  <si>
    <t xml:space="preserve">1) Wait ~60 min for token TTL</t>
  </si>
  <si>
    <t xml:space="preserve">App returns to /login</t>
  </si>
  <si>
    <t xml:space="preserve">Confirmed expiry to /login</t>
  </si>
  <si>
    <t xml:space="preserve">TC-B01</t>
  </si>
  <si>
    <t xml:space="preserve">Access</t>
  </si>
  <si>
    <t xml:space="preserve">Approvals</t>
  </si>
  <si>
    <t xml:space="preserve">IAM Approvals renders</t>
  </si>
  <si>
    <t xml:space="preserve">1) Open /admin/approvals</t>
  </si>
  <si>
    <t xml:space="preserve">Renders; empty state</t>
  </si>
  <si>
    <t xml:space="preserve">Renders ('No onboarding requests')</t>
  </si>
  <si>
    <t xml:space="preserve">TC-B02</t>
  </si>
  <si>
    <t xml:space="preserve">Users</t>
  </si>
  <si>
    <t xml:space="preserve">IAM Users renders</t>
  </si>
  <si>
    <t xml:space="preserve">1) Open /admin/users</t>
  </si>
  <si>
    <t xml:space="preserve">Lists users w/ status/roles/flags</t>
  </si>
  <si>
    <t xml:space="preserve">Both accounts listed correctly</t>
  </si>
  <si>
    <t xml:space="preserve">TC-B03</t>
  </si>
  <si>
    <t xml:space="preserve">Roles</t>
  </si>
  <si>
    <t xml:space="preserve">IAM Roles renders</t>
  </si>
  <si>
    <t xml:space="preserve">1) Open /admin/roles</t>
  </si>
  <si>
    <t xml:space="preserve">Lists roles; system roles protected</t>
  </si>
  <si>
    <t xml:space="preserve">System roles show no Edit/Delete</t>
  </si>
  <si>
    <t xml:space="preserve">TC-B04</t>
  </si>
  <si>
    <t xml:space="preserve">Features</t>
  </si>
  <si>
    <t xml:space="preserve">IAM Features renders</t>
  </si>
  <si>
    <t xml:space="preserve">1) Open /admin/features</t>
  </si>
  <si>
    <t xml:space="preserve">Lists features w/ scope+category</t>
  </si>
  <si>
    <t xml:space="preserve">Renders correctly</t>
  </si>
  <si>
    <t xml:space="preserve">TC-B05</t>
  </si>
  <si>
    <t xml:space="preserve">Admin API baseline</t>
  </si>
  <si>
    <t xml:space="preserve">1) GET onboarding/users/roles/features</t>
  </si>
  <si>
    <t xml:space="preserve">200 + data</t>
  </si>
  <si>
    <t xml:space="preserve">TC-C01</t>
  </si>
  <si>
    <t xml:space="preserve">Master Data</t>
  </si>
  <si>
    <t xml:space="preserve">(all)</t>
  </si>
  <si>
    <t xml:space="preserve">Master Data index renders</t>
  </si>
  <si>
    <t xml:space="preserve">1) Open /master</t>
  </si>
  <si>
    <t xml:space="preserve">6 categories + module cards</t>
  </si>
  <si>
    <t xml:space="preserve">Renders all</t>
  </si>
  <si>
    <t xml:space="preserve">TC-C02</t>
  </si>
  <si>
    <t xml:space="preserve">Tax Types</t>
  </si>
  <si>
    <t xml:space="preserve">List view</t>
  </si>
  <si>
    <t xml:space="preserve">1) Open /master/taxTypes</t>
  </si>
  <si>
    <t xml:space="preserve">Rows, sortable headers, pagination footer</t>
  </si>
  <si>
    <t xml:space="preserve">TC-C03</t>
  </si>
  <si>
    <t xml:space="preserve">Empty state</t>
  </si>
  <si>
    <t xml:space="preserve">1) Open module with no records / search miss</t>
  </si>
  <si>
    <t xml:space="preserve">'No Records Found'</t>
  </si>
  <si>
    <t xml:space="preserve">Correct empty state</t>
  </si>
  <si>
    <t xml:space="preserve">TC-C04</t>
  </si>
  <si>
    <t xml:space="preserve">Search filter</t>
  </si>
  <si>
    <t xml:space="preserve">1) Type 'zzz-no-match' in search</t>
  </si>
  <si>
    <t xml:space="preserve">Filtered; empty state</t>
  </si>
  <si>
    <t xml:space="preserve">Empty state shown</t>
  </si>
  <si>
    <t xml:space="preserve">TC-C05</t>
  </si>
  <si>
    <t xml:space="preserve">Create: empty required fields</t>
  </si>
  <si>
    <t xml:space="preserve">1) Add 2) leave Name+Value blank 3) Create</t>
  </si>
  <si>
    <t xml:space="preserve">Inline required errors; blocked</t>
  </si>
  <si>
    <t xml:space="preserve">'Name/Value is required'</t>
  </si>
  <si>
    <t xml:space="preserve">TC-C06</t>
  </si>
  <si>
    <t xml:space="preserve">Create: value&gt;max (client)</t>
  </si>
  <si>
    <t xml:space="preserve">1) Value=150 (max 100) 2) Create</t>
  </si>
  <si>
    <t xml:space="preserve">Blocked client-side</t>
  </si>
  <si>
    <t xml:space="preserve">'Value must be &lt;=100'</t>
  </si>
  <si>
    <t xml:space="preserve">TC-C07</t>
  </si>
  <si>
    <t xml:space="preserve">Create: happy path</t>
  </si>
  <si>
    <t xml:space="preserve">1) Name 'QA Test VAT', Value 18 2) Create</t>
  </si>
  <si>
    <t xml:space="preserve">Success toast + row</t>
  </si>
  <si>
    <t xml:space="preserve">'Record created successfully'</t>
  </si>
  <si>
    <t xml:space="preserve">TC-C08</t>
  </si>
  <si>
    <t xml:space="preserve">Update</t>
  </si>
  <si>
    <t xml:space="preserve">1) Edit row 2) Value 18-&gt;22 3) Update</t>
  </si>
  <si>
    <t xml:space="preserve">Success toast; value updated</t>
  </si>
  <si>
    <t xml:space="preserve">'Record updated successfully'</t>
  </si>
  <si>
    <t xml:space="preserve">TC-C09</t>
  </si>
  <si>
    <t xml:space="preserve">Delete + confirm</t>
  </si>
  <si>
    <t xml:space="preserve">1) Delete 2) Confirm dialog</t>
  </si>
  <si>
    <t xml:space="preserve">Row removed after confirm</t>
  </si>
  <si>
    <t xml:space="preserve">'Record deleted successfully'</t>
  </si>
  <si>
    <t xml:space="preserve">TC-D01</t>
  </si>
  <si>
    <t xml:space="preserve">Server rejects out-of-range</t>
  </si>
  <si>
    <t xml:space="preserve">1) POST /api/taxtypes {Value:150}</t>
  </si>
  <si>
    <t xml:space="preserve">400 validation</t>
  </si>
  <si>
    <t xml:space="preserve">400 'must be &lt;=100'</t>
  </si>
  <si>
    <t xml:space="preserve">TC-D02</t>
  </si>
  <si>
    <t xml:space="preserve">Server rejects missing field</t>
  </si>
  <si>
    <t xml:space="preserve">1) POST {Value:5} (no Name)</t>
  </si>
  <si>
    <t xml:space="preserve">400</t>
  </si>
  <si>
    <t xml:space="preserve">400 'Name is required'</t>
  </si>
  <si>
    <t xml:space="preserve">TC-D03</t>
  </si>
  <si>
    <t xml:space="preserve">Forged TenantId rejected</t>
  </si>
  <si>
    <t xml:space="preserve">1) POST {Name,Value,TenantId:other}</t>
  </si>
  <si>
    <t xml:space="preserve">400; no cross-tenant write</t>
  </si>
  <si>
    <t xml:space="preserve">400 (unknown field rejected)</t>
  </si>
  <si>
    <t xml:space="preserve">TC-D04</t>
  </si>
  <si>
    <t xml:space="preserve">Invalid id param</t>
  </si>
  <si>
    <t xml:space="preserve">1) GET /api/taxtypes/not-a-real-id</t>
  </si>
  <si>
    <t xml:space="preserve">400 (UUID validation)</t>
  </si>
  <si>
    <t xml:space="preserve">TC-D05</t>
  </si>
  <si>
    <t xml:space="preserve">Unique constraint</t>
  </si>
  <si>
    <t xml:space="preserve">1) POST duplicate StartCounterNo / Lat</t>
  </si>
  <si>
    <t xml:space="preserve">409</t>
  </si>
  <si>
    <t xml:space="preserve">409 'already exists'</t>
  </si>
  <si>
    <t xml:space="preserve">TC-E01</t>
  </si>
  <si>
    <t xml:space="preserve">All 6 categories</t>
  </si>
  <si>
    <t xml:space="preserve">(31 modules)</t>
  </si>
  <si>
    <t xml:space="preserve">All-module CREATE sweep</t>
  </si>
  <si>
    <t xml:space="preserve">1) Authenticated POST one record per module (FK graph built bottom-up)</t>
  </si>
  <si>
    <t xml:space="preserve">All create 201</t>
  </si>
  <si>
    <t xml:space="preserve">29/31 -&gt; 201 (2 defects: F-1,F-2)</t>
  </si>
  <si>
    <t xml:space="preserve">PASS*</t>
  </si>
  <si>
    <t xml:space="preserve">TC-E02</t>
  </si>
  <si>
    <t xml:space="preserve">(21+ modules)</t>
  </si>
  <si>
    <t xml:space="preserve">All-module LIST endpoints</t>
  </si>
  <si>
    <t xml:space="preserve">1) GET /api/{module} for all modules</t>
  </si>
  <si>
    <t xml:space="preserve">200, tenant-scoped</t>
  </si>
  <si>
    <t xml:space="preserve">TC-F01</t>
  </si>
  <si>
    <t xml:space="preserve">FK dependency dropdowns present</t>
  </si>
  <si>
    <t xml:space="preserve">1) Open Item Details create</t>
  </si>
  <si>
    <t xml:space="preserve">Category/UOM/CostInfo selects w/ inline +</t>
  </si>
  <si>
    <t xml:space="preserve">Present</t>
  </si>
  <si>
    <t xml:space="preserve">TC-RI1</t>
  </si>
  <si>
    <t xml:space="preserve">All FK modules</t>
  </si>
  <si>
    <t xml:space="preserve">(6 relations)</t>
  </si>
  <si>
    <t xml:space="preserve">Delete parent that is referenced</t>
  </si>
  <si>
    <t xml:space="preserve">1) Create parent 2) reference in child 3) delete parent</t>
  </si>
  <si>
    <t xml:space="preserve">Blocked gracefully; child not orphaned</t>
  </si>
  <si>
    <t xml:space="preserve">409 'Cannot delete - referenced'</t>
  </si>
  <si>
    <t xml:space="preserve">TC-RI2</t>
  </si>
  <si>
    <t xml:space="preserve">(5 relations)</t>
  </si>
  <si>
    <t xml:space="preserve">Update parent propagates to child</t>
  </si>
  <si>
    <t xml:space="preserve">1) Create parent+child 2) update parent value 3) re-read child joined view</t>
  </si>
  <si>
    <t xml:space="preserve">Child joined field reflects new value</t>
  </si>
  <si>
    <t xml:space="preserve">Propagates (live JOIN)</t>
  </si>
  <si>
    <t xml:space="preserve">TC-RI3</t>
  </si>
  <si>
    <t xml:space="preserve">Tax Group Mapper</t>
  </si>
  <si>
    <t xml:space="preserve">Inline + nested-create end-to-end</t>
  </si>
  <si>
    <t xml:space="preserve">1) Add mapper 2) '+' Tax Group 3) create inline 4) select+submit</t>
  </si>
  <si>
    <t xml:space="preserve">Nested modal stacks; created; usable in child</t>
  </si>
  <si>
    <t xml:space="preserve">Works; mapper created w/ inline TG</t>
  </si>
  <si>
    <t xml:space="preserve">TC-UI1</t>
  </si>
  <si>
    <t xml:space="preserve">Categories</t>
  </si>
  <si>
    <t xml:space="preserve">Full UI CRUD</t>
  </si>
  <si>
    <t xml:space="preserve">1) Create 2) Edit name 3) Delete+confirm</t>
  </si>
  <si>
    <t xml:space="preserve">All succeed w/ toasts</t>
  </si>
  <si>
    <t xml:space="preserve">All PASS</t>
  </si>
  <si>
    <t xml:space="preserve">TC-UI3</t>
  </si>
  <si>
    <t xml:space="preserve">Units of Measure</t>
  </si>
  <si>
    <t xml:space="preserve">Full UI CRUD incl. boolean</t>
  </si>
  <si>
    <t xml:space="preserve">1) Create 2) Edit toggling Is Primary (real click) 3) Delete</t>
  </si>
  <si>
    <t xml:space="preserve">All succeed; IsPrimary persists 0-&gt;1</t>
  </si>
  <si>
    <t xml:space="preserve">TC-UI5a</t>
  </si>
  <si>
    <t xml:space="preserve">Column sort asc/desc</t>
  </si>
  <si>
    <t xml:space="preserve">1) Click NAME header twice</t>
  </si>
  <si>
    <t xml:space="preserve">Ascending then descending w/ arrows</t>
  </si>
  <si>
    <t xml:space="preserve">Sorts both ways</t>
  </si>
  <si>
    <t xml:space="preserve">TC-UI5b</t>
  </si>
  <si>
    <t xml:space="preserve">Refresh button</t>
  </si>
  <si>
    <t xml:space="preserve">1) Click Refresh</t>
  </si>
  <si>
    <t xml:space="preserve">Reloads list, no error</t>
  </si>
  <si>
    <t xml:space="preserve">Works</t>
  </si>
  <si>
    <t xml:space="preserve">TC-UI5c</t>
  </si>
  <si>
    <t xml:space="preserve">Pagination</t>
  </si>
  <si>
    <t xml:space="preserve">1) 11 records 2) click page 2</t>
  </si>
  <si>
    <t xml:space="preserve">Prev/1/2/Next; page 2 shows record 11</t>
  </si>
  <si>
    <t xml:space="preserve">'Showing 11 to 11 of 11'</t>
  </si>
  <si>
    <t xml:space="preserve">TC-G01</t>
  </si>
  <si>
    <t xml:space="preserve">Reports</t>
  </si>
  <si>
    <t xml:space="preserve">Reports page renders (super admin)</t>
  </si>
  <si>
    <t xml:space="preserve">1) Open /reports</t>
  </si>
  <si>
    <t xml:space="preserve">Renders (bypass)</t>
  </si>
  <si>
    <t xml:space="preserve">Renders; API 200</t>
  </si>
  <si>
    <t xml:space="preserve">TC-G02</t>
  </si>
  <si>
    <t xml:space="preserve">Audit</t>
  </si>
  <si>
    <t xml:space="preserve">Audit visibility (super admin)</t>
  </si>
  <si>
    <t xml:space="preserve">1) Open /audit</t>
  </si>
  <si>
    <t xml:space="preserve">All logs visible; own actions logged</t>
  </si>
  <si>
    <t xml:space="preserve">141 logs; full visibility</t>
  </si>
  <si>
    <t xml:space="preserve">TC-F1</t>
  </si>
  <si>
    <t xml:space="preserve">Payments</t>
  </si>
  <si>
    <t xml:space="preserve">paymentBreakups</t>
  </si>
  <si>
    <t xml:space="preserve">Create returns 500</t>
  </si>
  <si>
    <t xml:space="preserve">1) POST /api/paymentbreakups w/ all valid FKs</t>
  </si>
  <si>
    <t xml:space="preserve">201 created</t>
  </si>
  <si>
    <t xml:space="preserve">500 Internal Server Error (reproduced x2)</t>
  </si>
  <si>
    <t xml:space="preserve">DEFECT</t>
  </si>
  <si>
    <t xml:space="preserve">TC-F2</t>
  </si>
  <si>
    <t xml:space="preserve">Organization</t>
  </si>
  <si>
    <t xml:space="preserve">FE/BE contract + FK 500</t>
  </si>
  <si>
    <t xml:space="preserve">1) POST UserGroupId as text 2) as valid GUID</t>
  </si>
  <si>
    <t xml:space="preserve">201 or clean 400</t>
  </si>
  <si>
    <t xml:space="preserve">text-&gt;400 'must be GUID'; valid GUID-&gt;500</t>
  </si>
  <si>
    <t xml:space="preserve">TC-F3</t>
  </si>
  <si>
    <t xml:space="preserve">Contacts/Org</t>
  </si>
  <si>
    <t xml:space="preserve">addressDetails, branchDetails</t>
  </si>
  <si>
    <t xml:space="preserve">500 instead of 400 on missing FK</t>
  </si>
  <si>
    <t xml:space="preserve">1) POST omitting a DB-required FK</t>
  </si>
  <si>
    <t xml:space="preserve">400 validation message</t>
  </si>
  <si>
    <t xml:space="preserve">500 Internal Server Error</t>
  </si>
  <si>
    <t xml:space="preserve">TC-F4</t>
  </si>
  <si>
    <t xml:space="preserve">(all reference forms)</t>
  </si>
  <si>
    <t xml:space="preserve">Inline + does not auto-select</t>
  </si>
  <si>
    <t xml:space="preserve">1) '+' create parent inline 2) observe dropdown</t>
  </si>
  <si>
    <t xml:space="preserve">New record auto-selected</t>
  </si>
  <si>
    <t xml:space="preserve">Not auto-selected (option present, manual pick)</t>
  </si>
  <si>
    <t xml:space="preserve">TC-F5</t>
  </si>
  <si>
    <t xml:space="preserve">GenericCrudPage/DataTable</t>
  </si>
  <si>
    <t xml:space="preserve">Grid white-screens on null reference</t>
  </si>
  <si>
    <t xml:space="preserve">1) Open a grid w/ a record having null reference (e.g. /master/itemDetails)</t>
  </si>
  <si>
    <t xml:space="preserve">Cell renders gracefully</t>
  </si>
  <si>
    <t xml:space="preserve">Uncaught TypeError 'Cannot read null.Lat'; whole page crashes (no error boundary)</t>
  </si>
  <si>
    <t xml:space="preserve">Create</t>
  </si>
  <si>
    <t xml:space="preserve">List</t>
  </si>
  <si>
    <t xml:space="preserve">Delete</t>
  </si>
  <si>
    <t xml:space="preserve">Validation</t>
  </si>
  <si>
    <t xml:space="preserve">Del-if-Referenced</t>
  </si>
  <si>
    <t xml:space="preserve">Update-Propagation</t>
  </si>
  <si>
    <t xml:space="preserve">Inline +</t>
  </si>
  <si>
    <t xml:space="preserve">taxTypes</t>
  </si>
  <si>
    <t xml:space="preserve">UI</t>
  </si>
  <si>
    <t xml:space="preserve">Y</t>
  </si>
  <si>
    <t xml:space="preserve">parent</t>
  </si>
  <si>
    <t xml:space="preserve">uom</t>
  </si>
  <si>
    <t xml:space="preserve">uomFactors</t>
  </si>
  <si>
    <t xml:space="preserve">child</t>
  </si>
  <si>
    <t xml:space="preserve">categories</t>
  </si>
  <si>
    <t xml:space="preserve">+via mapper</t>
  </si>
  <si>
    <t xml:space="preserve">taxGroups</t>
  </si>
  <si>
    <t xml:space="preserve">UI (via mapper)</t>
  </si>
  <si>
    <t xml:space="preserve">taxGroupTaxTypeMappers</t>
  </si>
  <si>
    <t xml:space="preserve">API/UI</t>
  </si>
  <si>
    <t xml:space="preserve">UI end-to-end</t>
  </si>
  <si>
    <t xml:space="preserve">accountTypeBases</t>
  </si>
  <si>
    <t xml:space="preserve">organizations</t>
  </si>
  <si>
    <t xml:space="preserve">branchDetails</t>
  </si>
  <si>
    <t xml:space="preserve">500-missing-FK</t>
  </si>
  <si>
    <t xml:space="preserve">Transactions</t>
  </si>
  <si>
    <t xml:space="preserve">transactionTypes</t>
  </si>
  <si>
    <t xml:space="preserve">transactionTypeConfigs</t>
  </si>
  <si>
    <t xml:space="preserve">409 unique</t>
  </si>
  <si>
    <t xml:space="preserve">transactionTypeStatuses</t>
  </si>
  <si>
    <t xml:space="preserve">transactionTypeBaseConversions</t>
  </si>
  <si>
    <t xml:space="preserve">transactionTypeConversionMappers</t>
  </si>
  <si>
    <t xml:space="preserve">transactionDetailLogs</t>
  </si>
  <si>
    <t xml:space="preserve">transactionItemDetails</t>
  </si>
  <si>
    <t xml:space="preserve">Inventory</t>
  </si>
  <si>
    <t xml:space="preserve">itemDetails</t>
  </si>
  <si>
    <t xml:space="preserve">form seen; grid crash F-5</t>
  </si>
  <si>
    <t xml:space="preserve">batchDetails</t>
  </si>
  <si>
    <t xml:space="preserve">costInfos</t>
  </si>
  <si>
    <t xml:space="preserve">Contacts</t>
  </si>
  <si>
    <t xml:space="preserve">contactAddressTypes</t>
  </si>
  <si>
    <t xml:space="preserve">contactDetails</t>
  </si>
  <si>
    <t xml:space="preserve">addressDetails</t>
  </si>
  <si>
    <t xml:space="preserve">locationDetails</t>
  </si>
  <si>
    <t xml:space="preserve">mapProviders</t>
  </si>
  <si>
    <t xml:space="preserve">mapProviderLocationMappers</t>
  </si>
  <si>
    <t xml:space="preserve">paymentReceivedTypes</t>
  </si>
  <si>
    <t xml:space="preserve">paymentModes</t>
  </si>
  <si>
    <t xml:space="preserve">paymentModeTransactionDetails</t>
  </si>
  <si>
    <t xml:space="preserve">paymentDetails</t>
  </si>
  <si>
    <t xml:space="preserve">DEFECT (500)</t>
  </si>
  <si>
    <t xml:space="preserve">Security / Authorization Findings</t>
  </si>
  <si>
    <t xml:space="preserve">These are code-analysis risks (Phase 1). Dynamic execution requires the TENANT account session and is NOT yet done — status PENDING.</t>
  </si>
  <si>
    <t xml:space="preserve">Risk / Hypothesis</t>
  </si>
  <si>
    <t xml:space="preserve">Planned test</t>
  </si>
  <si>
    <t xml:space="preserve">S-1</t>
  </si>
  <si>
    <t xml:space="preserve">Session invalidation</t>
  </si>
  <si>
    <t xml:space="preserve">Suspending/deleting a user does NOT invalidate an existing JWT (stateless; logout returns 200 only).</t>
  </si>
  <si>
    <t xml:space="preserve">Capture tenant JWT; SA suspends/deletes; replay tenant JWT vs /api/taxtypes.</t>
  </si>
  <si>
    <t xml:space="preserve">S-2</t>
  </si>
  <si>
    <t xml:space="preserve">Tenant isolation (IDOR)</t>
  </si>
  <si>
    <t xml:space="preserve">GET /api/admin/roles/:roleId/permissions is not tenant-scoped (roleId only).</t>
  </si>
  <si>
    <t xml:space="preserve">As tenant-admin A, request a roleId of tenant B.</t>
  </si>
  <si>
    <t xml:space="preserve">S-3</t>
  </si>
  <si>
    <t xml:space="preserve">Session expiry handling</t>
  </si>
  <si>
    <t xml:space="preserve">Backend returns 403 for expired token, but client interceptor only handles 401 -&gt; no auto-logout/redirect.</t>
  </si>
  <si>
    <t xml:space="preserve">Expire token; observe app behavior on API 403.</t>
  </si>
  <si>
    <t xml:space="preserve">S-4</t>
  </si>
  <si>
    <t xml:space="preserve">Route guard</t>
  </si>
  <si>
    <t xml:space="preserve">/audit route has NO client-side guard; reachable while logged out.</t>
  </si>
  <si>
    <t xml:space="preserve">Visit /audit logged out; expect redirect to /login (won't).</t>
  </si>
  <si>
    <t xml:space="preserve">S-5</t>
  </si>
  <si>
    <t xml:space="preserve">Scope mismatch</t>
  </si>
  <si>
    <t xml:space="preserve">FE scopes.js uses 'reports:READ' vs BE 'REPORTS:READ' -&gt; guard/server may disagree.</t>
  </si>
  <si>
    <t xml:space="preserve">As tenant with reports role, open /reports; compare FE guard vs API.</t>
  </si>
  <si>
    <t xml:space="preserve">S-6</t>
  </si>
  <si>
    <t xml:space="preserve">Token exp ignored</t>
  </si>
  <si>
    <t xml:space="preserve">decodeToken ignores exp; UI looks logged-in with expired token until an API call fails.</t>
  </si>
  <si>
    <t xml:space="preserve">Load app with expired cookie; observe.</t>
  </si>
  <si>
    <t xml:space="preserve">C-neg</t>
  </si>
  <si>
    <t xml:space="preserve">Authorization boundary</t>
  </si>
  <si>
    <t xml:space="preserve">As TENANT, every super-admin-only action via (1) UI (2) direct URL (3) API replay must 401/403.</t>
  </si>
  <si>
    <t xml:space="preserve">Run all 3 vectors against /api/admin/*, data/settings, audit cross-tenant.</t>
  </si>
  <si>
    <t xml:space="preserve">D-iso</t>
  </si>
  <si>
    <t xml:space="preserve">Tenant isolation</t>
  </si>
  <si>
    <t xml:space="preserve">Confirm one tenant cannot read/modify another's data (change IDs in URL/API).</t>
  </si>
  <si>
    <t xml:space="preserve">Forged tenantId/foreign roleId; single-tenant env limits scope.</t>
  </si>
  <si>
    <t xml:space="preserve">B-dep</t>
  </si>
  <si>
    <t xml:space="preserve">Super-admin-&gt;tenant lifecycle</t>
  </si>
  <si>
    <t xml:space="preserve">SA edit/suspend/delete tenant propagates (tenant loses access on next login; refs handled).</t>
  </si>
  <si>
    <t xml:space="preserve">Full chain via UI + JWT replay.</t>
  </si>
  <si>
    <t xml:space="preserve">E-goog</t>
  </si>
  <si>
    <t xml:space="preserve">Google integration</t>
  </si>
  <si>
    <t xml:space="preserve">OAuth connect/consent, token storage, disconnect/revoke, cancel/deny/error paths.</t>
  </si>
  <si>
    <t xml:space="preserve">Both accounts; cancel/deny popup.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</si>
</sst>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4"/>
      <color rgb="FFC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0000"/>
        <bgColor rgb="FFC00000"/>
      </patternFill>
    </fill>
    <fill>
      <patternFill patternType="solid">
        <fgColor rgb="FFFFC000"/>
        <bgColor rgb="FFFF9900"/>
      </patternFill>
    </fill>
    <fill>
      <patternFill patternType="solid">
        <fgColor rgb="FFFFE699"/>
        <bgColor rgb="FFFFEB9C"/>
      </patternFill>
    </fill>
    <fill>
      <patternFill patternType="solid">
        <fgColor rgb="FFC6EFCE"/>
        <bgColor rgb="FFD9E1F2"/>
      </patternFill>
    </fill>
    <fill>
      <patternFill patternType="solid">
        <fgColor rgb="FFD9E1F2"/>
        <bgColor rgb="FFC6EFCE"/>
      </patternFill>
    </fill>
    <fill>
      <patternFill patternType="solid">
        <fgColor rgb="FFFFC7CE"/>
        <bgColor rgb="FFFFE699"/>
      </patternFill>
    </fill>
    <fill>
      <patternFill patternType="solid">
        <fgColor rgb="FFFFEB9C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E699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8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5" t="n">
        <f aca="false">COUNTIF('Test Cases'!H2:H100,"PASS")</f>
        <v>36</v>
      </c>
    </row>
    <row r="7" customFormat="false" ht="15" hidden="false" customHeight="false" outlineLevel="0" collapsed="false">
      <c r="A7" s="5" t="s">
        <v>6</v>
      </c>
      <c r="B7" s="5" t="n">
        <f aca="false">COUNTIF('Test Cases'!H2:H100,"PASS*")</f>
        <v>37</v>
      </c>
    </row>
    <row r="8" customFormat="false" ht="15" hidden="false" customHeight="false" outlineLevel="0" collapsed="false">
      <c r="A8" s="5" t="s">
        <v>7</v>
      </c>
      <c r="B8" s="5" t="n">
        <f aca="false">COUNTIF('Test Cases'!H2:H100,"DEFECT")</f>
        <v>5</v>
      </c>
    </row>
    <row r="9" customFormat="false" ht="15" hidden="false" customHeight="false" outlineLevel="0" collapsed="false">
      <c r="A9" s="5" t="s">
        <v>8</v>
      </c>
      <c r="B9" s="5" t="n">
        <f aca="false">COUNTIF('Test Cases'!H2:H100,"PENDING")</f>
        <v>0</v>
      </c>
    </row>
    <row r="10" customFormat="false" ht="15" hidden="false" customHeight="false" outlineLevel="0" collapsed="false">
      <c r="A10" s="6" t="s">
        <v>9</v>
      </c>
      <c r="B10" s="6" t="n">
        <f aca="false">COUNTA('Test Cases'!A2:A100)</f>
        <v>42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4" t="s">
        <v>11</v>
      </c>
      <c r="B14" s="4" t="s">
        <v>12</v>
      </c>
      <c r="C14" s="4" t="s">
        <v>13</v>
      </c>
      <c r="D14" s="4" t="s">
        <v>14</v>
      </c>
    </row>
    <row r="15" customFormat="false" ht="15" hidden="false" customHeight="false" outlineLevel="0" collapsed="false">
      <c r="A15" s="7" t="s">
        <v>15</v>
      </c>
      <c r="B15" s="7" t="s">
        <v>16</v>
      </c>
      <c r="C15" s="8" t="s">
        <v>17</v>
      </c>
      <c r="D15" s="7" t="s">
        <v>18</v>
      </c>
    </row>
    <row r="16" customFormat="false" ht="15" hidden="false" customHeight="false" outlineLevel="0" collapsed="false">
      <c r="A16" s="7" t="s">
        <v>19</v>
      </c>
      <c r="B16" s="7" t="s">
        <v>20</v>
      </c>
      <c r="C16" s="8" t="s">
        <v>17</v>
      </c>
      <c r="D16" s="7" t="s">
        <v>21</v>
      </c>
    </row>
    <row r="17" customFormat="false" ht="15" hidden="false" customHeight="false" outlineLevel="0" collapsed="false">
      <c r="A17" s="7" t="s">
        <v>22</v>
      </c>
      <c r="B17" s="7" t="s">
        <v>23</v>
      </c>
      <c r="C17" s="8" t="s">
        <v>17</v>
      </c>
      <c r="D17" s="7" t="s">
        <v>24</v>
      </c>
    </row>
    <row r="18" customFormat="false" ht="23.85" hidden="false" customHeight="false" outlineLevel="0" collapsed="false">
      <c r="A18" s="7" t="s">
        <v>25</v>
      </c>
      <c r="B18" s="7" t="s">
        <v>26</v>
      </c>
      <c r="C18" s="9" t="s">
        <v>27</v>
      </c>
      <c r="D18" s="7" t="s">
        <v>28</v>
      </c>
    </row>
    <row r="19" customFormat="false" ht="15" hidden="false" customHeight="false" outlineLevel="0" collapsed="false">
      <c r="A19" s="7" t="s">
        <v>29</v>
      </c>
      <c r="B19" s="7" t="s">
        <v>30</v>
      </c>
      <c r="C19" s="10" t="s">
        <v>31</v>
      </c>
      <c r="D19" s="7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40"/>
    <col collapsed="false" customWidth="true" hidden="false" outlineLevel="0" max="6" min="6" style="0" width="34"/>
    <col collapsed="false" customWidth="true" hidden="false" outlineLevel="0" max="7" min="7" style="0" width="40"/>
    <col collapsed="false" customWidth="true" hidden="false" outlineLevel="0" max="8" min="8" style="0" width="9"/>
    <col collapsed="false" customWidth="true" hidden="false" outlineLevel="0" max="9" min="9" style="0" width="10"/>
  </cols>
  <sheetData>
    <row r="1" customFormat="false" ht="15" hidden="false" customHeight="false" outlineLevel="0" collapsed="false">
      <c r="A1" s="4" t="s">
        <v>11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</v>
      </c>
      <c r="I1" s="4" t="s">
        <v>13</v>
      </c>
    </row>
    <row r="2" customFormat="false" ht="23.85" hidden="false" customHeight="false" outlineLevel="0" collapsed="false">
      <c r="A2" s="7" t="s">
        <v>39</v>
      </c>
      <c r="B2" s="7" t="s">
        <v>40</v>
      </c>
      <c r="C2" s="7" t="s">
        <v>41</v>
      </c>
      <c r="D2" s="7" t="s">
        <v>42</v>
      </c>
      <c r="E2" s="7" t="s">
        <v>43</v>
      </c>
      <c r="F2" s="7" t="s">
        <v>44</v>
      </c>
      <c r="G2" s="7" t="s">
        <v>45</v>
      </c>
      <c r="H2" s="11" t="s">
        <v>5</v>
      </c>
      <c r="I2" s="7" t="s">
        <v>46</v>
      </c>
    </row>
    <row r="3" customFormat="false" ht="23.85" hidden="false" customHeight="false" outlineLevel="0" collapsed="false">
      <c r="A3" s="7" t="s">
        <v>47</v>
      </c>
      <c r="B3" s="7" t="s">
        <v>40</v>
      </c>
      <c r="C3" s="7" t="s">
        <v>48</v>
      </c>
      <c r="D3" s="7" t="s">
        <v>49</v>
      </c>
      <c r="E3" s="7" t="s">
        <v>50</v>
      </c>
      <c r="F3" s="7" t="s">
        <v>51</v>
      </c>
      <c r="G3" s="7" t="s">
        <v>52</v>
      </c>
      <c r="H3" s="11" t="s">
        <v>5</v>
      </c>
      <c r="I3" s="7" t="s">
        <v>46</v>
      </c>
    </row>
    <row r="4" customFormat="false" ht="35.05" hidden="false" customHeight="false" outlineLevel="0" collapsed="false">
      <c r="A4" s="7" t="s">
        <v>53</v>
      </c>
      <c r="B4" s="7" t="s">
        <v>40</v>
      </c>
      <c r="C4" s="7" t="s">
        <v>41</v>
      </c>
      <c r="D4" s="7" t="s">
        <v>54</v>
      </c>
      <c r="E4" s="7" t="s">
        <v>55</v>
      </c>
      <c r="F4" s="7" t="s">
        <v>56</v>
      </c>
      <c r="G4" s="7" t="s">
        <v>57</v>
      </c>
      <c r="H4" s="11" t="s">
        <v>5</v>
      </c>
      <c r="I4" s="7" t="s">
        <v>46</v>
      </c>
    </row>
    <row r="5" customFormat="false" ht="23.85" hidden="false" customHeight="false" outlineLevel="0" collapsed="false">
      <c r="A5" s="7" t="s">
        <v>58</v>
      </c>
      <c r="B5" s="7" t="s">
        <v>40</v>
      </c>
      <c r="C5" s="7" t="s">
        <v>48</v>
      </c>
      <c r="D5" s="7" t="s">
        <v>59</v>
      </c>
      <c r="E5" s="7" t="s">
        <v>60</v>
      </c>
      <c r="F5" s="7" t="s">
        <v>61</v>
      </c>
      <c r="G5" s="7" t="s">
        <v>62</v>
      </c>
      <c r="H5" s="11" t="s">
        <v>5</v>
      </c>
      <c r="I5" s="7" t="s">
        <v>46</v>
      </c>
    </row>
    <row r="6" customFormat="false" ht="15" hidden="false" customHeight="false" outlineLevel="0" collapsed="false">
      <c r="A6" s="7" t="s">
        <v>63</v>
      </c>
      <c r="B6" s="7" t="s">
        <v>40</v>
      </c>
      <c r="C6" s="7" t="s">
        <v>64</v>
      </c>
      <c r="D6" s="7" t="s">
        <v>65</v>
      </c>
      <c r="E6" s="7" t="s">
        <v>66</v>
      </c>
      <c r="F6" s="7" t="s">
        <v>67</v>
      </c>
      <c r="G6" s="7" t="s">
        <v>68</v>
      </c>
      <c r="H6" s="11" t="s">
        <v>5</v>
      </c>
      <c r="I6" s="7" t="s">
        <v>46</v>
      </c>
    </row>
    <row r="7" customFormat="false" ht="15" hidden="false" customHeight="false" outlineLevel="0" collapsed="false">
      <c r="A7" s="7" t="s">
        <v>69</v>
      </c>
      <c r="B7" s="7" t="s">
        <v>70</v>
      </c>
      <c r="C7" s="7" t="s">
        <v>71</v>
      </c>
      <c r="D7" s="7" t="s">
        <v>72</v>
      </c>
      <c r="E7" s="7" t="s">
        <v>73</v>
      </c>
      <c r="F7" s="7" t="s">
        <v>74</v>
      </c>
      <c r="G7" s="7" t="s">
        <v>75</v>
      </c>
      <c r="H7" s="11" t="s">
        <v>5</v>
      </c>
      <c r="I7" s="7" t="s">
        <v>46</v>
      </c>
    </row>
    <row r="8" customFormat="false" ht="15" hidden="false" customHeight="false" outlineLevel="0" collapsed="false">
      <c r="A8" s="7" t="s">
        <v>76</v>
      </c>
      <c r="B8" s="7" t="s">
        <v>70</v>
      </c>
      <c r="C8" s="7" t="s">
        <v>77</v>
      </c>
      <c r="D8" s="7" t="s">
        <v>78</v>
      </c>
      <c r="E8" s="7" t="s">
        <v>79</v>
      </c>
      <c r="F8" s="7" t="s">
        <v>80</v>
      </c>
      <c r="G8" s="7" t="s">
        <v>81</v>
      </c>
      <c r="H8" s="11" t="s">
        <v>5</v>
      </c>
      <c r="I8" s="7" t="s">
        <v>46</v>
      </c>
    </row>
    <row r="9" customFormat="false" ht="15" hidden="false" customHeight="false" outlineLevel="0" collapsed="false">
      <c r="A9" s="7" t="s">
        <v>82</v>
      </c>
      <c r="B9" s="7" t="s">
        <v>70</v>
      </c>
      <c r="C9" s="7" t="s">
        <v>83</v>
      </c>
      <c r="D9" s="7" t="s">
        <v>84</v>
      </c>
      <c r="E9" s="7" t="s">
        <v>85</v>
      </c>
      <c r="F9" s="7" t="s">
        <v>86</v>
      </c>
      <c r="G9" s="7" t="s">
        <v>87</v>
      </c>
      <c r="H9" s="11" t="s">
        <v>5</v>
      </c>
      <c r="I9" s="7" t="s">
        <v>46</v>
      </c>
    </row>
    <row r="10" customFormat="false" ht="15" hidden="false" customHeight="false" outlineLevel="0" collapsed="false">
      <c r="A10" s="7" t="s">
        <v>88</v>
      </c>
      <c r="B10" s="7" t="s">
        <v>70</v>
      </c>
      <c r="C10" s="7" t="s">
        <v>89</v>
      </c>
      <c r="D10" s="7" t="s">
        <v>90</v>
      </c>
      <c r="E10" s="7" t="s">
        <v>91</v>
      </c>
      <c r="F10" s="7" t="s">
        <v>92</v>
      </c>
      <c r="G10" s="7" t="s">
        <v>93</v>
      </c>
      <c r="H10" s="11" t="s">
        <v>5</v>
      </c>
      <c r="I10" s="7" t="s">
        <v>46</v>
      </c>
    </row>
    <row r="11" customFormat="false" ht="15" hidden="false" customHeight="false" outlineLevel="0" collapsed="false">
      <c r="A11" s="7" t="s">
        <v>94</v>
      </c>
      <c r="B11" s="7" t="s">
        <v>70</v>
      </c>
      <c r="C11" s="7" t="s">
        <v>48</v>
      </c>
      <c r="D11" s="7" t="s">
        <v>95</v>
      </c>
      <c r="E11" s="7" t="s">
        <v>96</v>
      </c>
      <c r="F11" s="7" t="s">
        <v>97</v>
      </c>
      <c r="G11" s="7" t="s">
        <v>62</v>
      </c>
      <c r="H11" s="11" t="s">
        <v>5</v>
      </c>
      <c r="I11" s="7" t="s">
        <v>46</v>
      </c>
    </row>
    <row r="12" customFormat="false" ht="15" hidden="false" customHeight="false" outlineLevel="0" collapsed="false">
      <c r="A12" s="7" t="s">
        <v>98</v>
      </c>
      <c r="B12" s="7" t="s">
        <v>99</v>
      </c>
      <c r="C12" s="7" t="s">
        <v>100</v>
      </c>
      <c r="D12" s="7" t="s">
        <v>101</v>
      </c>
      <c r="E12" s="7" t="s">
        <v>102</v>
      </c>
      <c r="F12" s="7" t="s">
        <v>103</v>
      </c>
      <c r="G12" s="7" t="s">
        <v>104</v>
      </c>
      <c r="H12" s="11" t="s">
        <v>5</v>
      </c>
      <c r="I12" s="7" t="s">
        <v>46</v>
      </c>
    </row>
    <row r="13" customFormat="false" ht="15" hidden="false" customHeight="false" outlineLevel="0" collapsed="false">
      <c r="A13" s="7" t="s">
        <v>105</v>
      </c>
      <c r="B13" s="7" t="s">
        <v>99</v>
      </c>
      <c r="C13" s="7" t="s">
        <v>106</v>
      </c>
      <c r="D13" s="7" t="s">
        <v>107</v>
      </c>
      <c r="E13" s="7" t="s">
        <v>108</v>
      </c>
      <c r="F13" s="7" t="s">
        <v>109</v>
      </c>
      <c r="G13" s="7" t="s">
        <v>93</v>
      </c>
      <c r="H13" s="11" t="s">
        <v>5</v>
      </c>
      <c r="I13" s="7" t="s">
        <v>46</v>
      </c>
    </row>
    <row r="14" customFormat="false" ht="15" hidden="false" customHeight="false" outlineLevel="0" collapsed="false">
      <c r="A14" s="7" t="s">
        <v>110</v>
      </c>
      <c r="B14" s="7" t="s">
        <v>99</v>
      </c>
      <c r="C14" s="7" t="s">
        <v>100</v>
      </c>
      <c r="D14" s="7" t="s">
        <v>111</v>
      </c>
      <c r="E14" s="7" t="s">
        <v>112</v>
      </c>
      <c r="F14" s="7" t="s">
        <v>113</v>
      </c>
      <c r="G14" s="7" t="s">
        <v>114</v>
      </c>
      <c r="H14" s="11" t="s">
        <v>5</v>
      </c>
      <c r="I14" s="7" t="s">
        <v>46</v>
      </c>
    </row>
    <row r="15" customFormat="false" ht="15" hidden="false" customHeight="false" outlineLevel="0" collapsed="false">
      <c r="A15" s="7" t="s">
        <v>115</v>
      </c>
      <c r="B15" s="7" t="s">
        <v>99</v>
      </c>
      <c r="C15" s="7" t="s">
        <v>106</v>
      </c>
      <c r="D15" s="7" t="s">
        <v>116</v>
      </c>
      <c r="E15" s="7" t="s">
        <v>117</v>
      </c>
      <c r="F15" s="7" t="s">
        <v>118</v>
      </c>
      <c r="G15" s="7" t="s">
        <v>119</v>
      </c>
      <c r="H15" s="11" t="s">
        <v>5</v>
      </c>
      <c r="I15" s="7" t="s">
        <v>46</v>
      </c>
    </row>
    <row r="16" customFormat="false" ht="15" hidden="false" customHeight="false" outlineLevel="0" collapsed="false">
      <c r="A16" s="7" t="s">
        <v>120</v>
      </c>
      <c r="B16" s="7" t="s">
        <v>99</v>
      </c>
      <c r="C16" s="7" t="s">
        <v>106</v>
      </c>
      <c r="D16" s="7" t="s">
        <v>121</v>
      </c>
      <c r="E16" s="7" t="s">
        <v>122</v>
      </c>
      <c r="F16" s="7" t="s">
        <v>123</v>
      </c>
      <c r="G16" s="7" t="s">
        <v>124</v>
      </c>
      <c r="H16" s="11" t="s">
        <v>5</v>
      </c>
      <c r="I16" s="7" t="s">
        <v>46</v>
      </c>
    </row>
    <row r="17" customFormat="false" ht="15" hidden="false" customHeight="false" outlineLevel="0" collapsed="false">
      <c r="A17" s="7" t="s">
        <v>125</v>
      </c>
      <c r="B17" s="7" t="s">
        <v>99</v>
      </c>
      <c r="C17" s="7" t="s">
        <v>106</v>
      </c>
      <c r="D17" s="7" t="s">
        <v>126</v>
      </c>
      <c r="E17" s="7" t="s">
        <v>127</v>
      </c>
      <c r="F17" s="7" t="s">
        <v>128</v>
      </c>
      <c r="G17" s="7" t="s">
        <v>129</v>
      </c>
      <c r="H17" s="11" t="s">
        <v>5</v>
      </c>
      <c r="I17" s="7" t="s">
        <v>46</v>
      </c>
    </row>
    <row r="18" customFormat="false" ht="15" hidden="false" customHeight="false" outlineLevel="0" collapsed="false">
      <c r="A18" s="7" t="s">
        <v>130</v>
      </c>
      <c r="B18" s="7" t="s">
        <v>99</v>
      </c>
      <c r="C18" s="7" t="s">
        <v>106</v>
      </c>
      <c r="D18" s="7" t="s">
        <v>131</v>
      </c>
      <c r="E18" s="7" t="s">
        <v>132</v>
      </c>
      <c r="F18" s="7" t="s">
        <v>133</v>
      </c>
      <c r="G18" s="7" t="s">
        <v>134</v>
      </c>
      <c r="H18" s="11" t="s">
        <v>5</v>
      </c>
      <c r="I18" s="7" t="s">
        <v>46</v>
      </c>
    </row>
    <row r="19" customFormat="false" ht="15" hidden="false" customHeight="false" outlineLevel="0" collapsed="false">
      <c r="A19" s="7" t="s">
        <v>135</v>
      </c>
      <c r="B19" s="7" t="s">
        <v>99</v>
      </c>
      <c r="C19" s="7" t="s">
        <v>106</v>
      </c>
      <c r="D19" s="7" t="s">
        <v>136</v>
      </c>
      <c r="E19" s="7" t="s">
        <v>137</v>
      </c>
      <c r="F19" s="7" t="s">
        <v>138</v>
      </c>
      <c r="G19" s="7" t="s">
        <v>139</v>
      </c>
      <c r="H19" s="11" t="s">
        <v>5</v>
      </c>
      <c r="I19" s="7" t="s">
        <v>46</v>
      </c>
    </row>
    <row r="20" customFormat="false" ht="15" hidden="false" customHeight="false" outlineLevel="0" collapsed="false">
      <c r="A20" s="7" t="s">
        <v>140</v>
      </c>
      <c r="B20" s="7" t="s">
        <v>99</v>
      </c>
      <c r="C20" s="7" t="s">
        <v>106</v>
      </c>
      <c r="D20" s="7" t="s">
        <v>141</v>
      </c>
      <c r="E20" s="7" t="s">
        <v>142</v>
      </c>
      <c r="F20" s="7" t="s">
        <v>143</v>
      </c>
      <c r="G20" s="7" t="s">
        <v>144</v>
      </c>
      <c r="H20" s="11" t="s">
        <v>5</v>
      </c>
      <c r="I20" s="7" t="s">
        <v>46</v>
      </c>
    </row>
    <row r="21" customFormat="false" ht="15" hidden="false" customHeight="false" outlineLevel="0" collapsed="false">
      <c r="A21" s="7" t="s">
        <v>145</v>
      </c>
      <c r="B21" s="7" t="s">
        <v>99</v>
      </c>
      <c r="C21" s="7" t="s">
        <v>48</v>
      </c>
      <c r="D21" s="7" t="s">
        <v>146</v>
      </c>
      <c r="E21" s="7" t="s">
        <v>147</v>
      </c>
      <c r="F21" s="7" t="s">
        <v>148</v>
      </c>
      <c r="G21" s="7" t="s">
        <v>149</v>
      </c>
      <c r="H21" s="11" t="s">
        <v>5</v>
      </c>
      <c r="I21" s="7" t="s">
        <v>46</v>
      </c>
    </row>
    <row r="22" customFormat="false" ht="15" hidden="false" customHeight="false" outlineLevel="0" collapsed="false">
      <c r="A22" s="7" t="s">
        <v>150</v>
      </c>
      <c r="B22" s="7" t="s">
        <v>99</v>
      </c>
      <c r="C22" s="7" t="s">
        <v>48</v>
      </c>
      <c r="D22" s="7" t="s">
        <v>151</v>
      </c>
      <c r="E22" s="7" t="s">
        <v>152</v>
      </c>
      <c r="F22" s="7" t="s">
        <v>153</v>
      </c>
      <c r="G22" s="7" t="s">
        <v>154</v>
      </c>
      <c r="H22" s="11" t="s">
        <v>5</v>
      </c>
      <c r="I22" s="7" t="s">
        <v>46</v>
      </c>
    </row>
    <row r="23" customFormat="false" ht="15" hidden="false" customHeight="false" outlineLevel="0" collapsed="false">
      <c r="A23" s="7" t="s">
        <v>155</v>
      </c>
      <c r="B23" s="7" t="s">
        <v>99</v>
      </c>
      <c r="C23" s="7" t="s">
        <v>48</v>
      </c>
      <c r="D23" s="7" t="s">
        <v>156</v>
      </c>
      <c r="E23" s="7" t="s">
        <v>157</v>
      </c>
      <c r="F23" s="7" t="s">
        <v>158</v>
      </c>
      <c r="G23" s="7" t="s">
        <v>159</v>
      </c>
      <c r="H23" s="11" t="s">
        <v>5</v>
      </c>
      <c r="I23" s="7" t="s">
        <v>46</v>
      </c>
    </row>
    <row r="24" customFormat="false" ht="15" hidden="false" customHeight="false" outlineLevel="0" collapsed="false">
      <c r="A24" s="7" t="s">
        <v>160</v>
      </c>
      <c r="B24" s="7" t="s">
        <v>99</v>
      </c>
      <c r="C24" s="7" t="s">
        <v>48</v>
      </c>
      <c r="D24" s="7" t="s">
        <v>161</v>
      </c>
      <c r="E24" s="7" t="s">
        <v>162</v>
      </c>
      <c r="F24" s="7" t="s">
        <v>153</v>
      </c>
      <c r="G24" s="7" t="s">
        <v>163</v>
      </c>
      <c r="H24" s="11" t="s">
        <v>5</v>
      </c>
      <c r="I24" s="7" t="s">
        <v>46</v>
      </c>
    </row>
    <row r="25" customFormat="false" ht="15" hidden="false" customHeight="false" outlineLevel="0" collapsed="false">
      <c r="A25" s="7" t="s">
        <v>164</v>
      </c>
      <c r="B25" s="7" t="s">
        <v>99</v>
      </c>
      <c r="C25" s="7" t="s">
        <v>48</v>
      </c>
      <c r="D25" s="7" t="s">
        <v>165</v>
      </c>
      <c r="E25" s="7" t="s">
        <v>166</v>
      </c>
      <c r="F25" s="7" t="s">
        <v>167</v>
      </c>
      <c r="G25" s="7" t="s">
        <v>168</v>
      </c>
      <c r="H25" s="11" t="s">
        <v>5</v>
      </c>
      <c r="I25" s="7" t="s">
        <v>46</v>
      </c>
    </row>
    <row r="26" customFormat="false" ht="23.85" hidden="false" customHeight="false" outlineLevel="0" collapsed="false">
      <c r="A26" s="7" t="s">
        <v>169</v>
      </c>
      <c r="B26" s="7" t="s">
        <v>170</v>
      </c>
      <c r="C26" s="7" t="s">
        <v>171</v>
      </c>
      <c r="D26" s="7" t="s">
        <v>172</v>
      </c>
      <c r="E26" s="7" t="s">
        <v>173</v>
      </c>
      <c r="F26" s="7" t="s">
        <v>174</v>
      </c>
      <c r="G26" s="7" t="s">
        <v>175</v>
      </c>
      <c r="H26" s="12" t="s">
        <v>176</v>
      </c>
      <c r="I26" s="7" t="s">
        <v>46</v>
      </c>
    </row>
    <row r="27" customFormat="false" ht="15" hidden="false" customHeight="false" outlineLevel="0" collapsed="false">
      <c r="A27" s="7" t="s">
        <v>177</v>
      </c>
      <c r="B27" s="7" t="s">
        <v>170</v>
      </c>
      <c r="C27" s="7" t="s">
        <v>178</v>
      </c>
      <c r="D27" s="7" t="s">
        <v>179</v>
      </c>
      <c r="E27" s="7" t="s">
        <v>180</v>
      </c>
      <c r="F27" s="7" t="s">
        <v>181</v>
      </c>
      <c r="G27" s="7" t="s">
        <v>62</v>
      </c>
      <c r="H27" s="11" t="s">
        <v>5</v>
      </c>
      <c r="I27" s="7" t="s">
        <v>46</v>
      </c>
    </row>
    <row r="28" customFormat="false" ht="23.85" hidden="false" customHeight="false" outlineLevel="0" collapsed="false">
      <c r="A28" s="7" t="s">
        <v>182</v>
      </c>
      <c r="B28" s="7" t="s">
        <v>99</v>
      </c>
      <c r="C28" s="7" t="s">
        <v>106</v>
      </c>
      <c r="D28" s="7" t="s">
        <v>183</v>
      </c>
      <c r="E28" s="7" t="s">
        <v>184</v>
      </c>
      <c r="F28" s="7" t="s">
        <v>185</v>
      </c>
      <c r="G28" s="7" t="s">
        <v>186</v>
      </c>
      <c r="H28" s="11" t="s">
        <v>5</v>
      </c>
      <c r="I28" s="7" t="s">
        <v>46</v>
      </c>
    </row>
    <row r="29" customFormat="false" ht="23.85" hidden="false" customHeight="false" outlineLevel="0" collapsed="false">
      <c r="A29" s="7" t="s">
        <v>187</v>
      </c>
      <c r="B29" s="7" t="s">
        <v>188</v>
      </c>
      <c r="C29" s="7" t="s">
        <v>189</v>
      </c>
      <c r="D29" s="7" t="s">
        <v>190</v>
      </c>
      <c r="E29" s="7" t="s">
        <v>191</v>
      </c>
      <c r="F29" s="7" t="s">
        <v>192</v>
      </c>
      <c r="G29" s="7" t="s">
        <v>193</v>
      </c>
      <c r="H29" s="11" t="s">
        <v>5</v>
      </c>
      <c r="I29" s="7" t="s">
        <v>46</v>
      </c>
    </row>
    <row r="30" customFormat="false" ht="23.85" hidden="false" customHeight="false" outlineLevel="0" collapsed="false">
      <c r="A30" s="7" t="s">
        <v>194</v>
      </c>
      <c r="B30" s="7" t="s">
        <v>188</v>
      </c>
      <c r="C30" s="7" t="s">
        <v>195</v>
      </c>
      <c r="D30" s="7" t="s">
        <v>196</v>
      </c>
      <c r="E30" s="7" t="s">
        <v>197</v>
      </c>
      <c r="F30" s="7" t="s">
        <v>198</v>
      </c>
      <c r="G30" s="7" t="s">
        <v>199</v>
      </c>
      <c r="H30" s="11" t="s">
        <v>5</v>
      </c>
      <c r="I30" s="7" t="s">
        <v>46</v>
      </c>
    </row>
    <row r="31" customFormat="false" ht="23.85" hidden="false" customHeight="false" outlineLevel="0" collapsed="false">
      <c r="A31" s="7" t="s">
        <v>200</v>
      </c>
      <c r="B31" s="7" t="s">
        <v>99</v>
      </c>
      <c r="C31" s="7" t="s">
        <v>201</v>
      </c>
      <c r="D31" s="7" t="s">
        <v>202</v>
      </c>
      <c r="E31" s="7" t="s">
        <v>203</v>
      </c>
      <c r="F31" s="7" t="s">
        <v>204</v>
      </c>
      <c r="G31" s="7" t="s">
        <v>205</v>
      </c>
      <c r="H31" s="11" t="s">
        <v>5</v>
      </c>
      <c r="I31" s="7" t="s">
        <v>46</v>
      </c>
    </row>
    <row r="32" customFormat="false" ht="15" hidden="false" customHeight="false" outlineLevel="0" collapsed="false">
      <c r="A32" s="7" t="s">
        <v>206</v>
      </c>
      <c r="B32" s="7" t="s">
        <v>99</v>
      </c>
      <c r="C32" s="7" t="s">
        <v>207</v>
      </c>
      <c r="D32" s="7" t="s">
        <v>208</v>
      </c>
      <c r="E32" s="7" t="s">
        <v>209</v>
      </c>
      <c r="F32" s="7" t="s">
        <v>210</v>
      </c>
      <c r="G32" s="7" t="s">
        <v>211</v>
      </c>
      <c r="H32" s="11" t="s">
        <v>5</v>
      </c>
      <c r="I32" s="7" t="s">
        <v>46</v>
      </c>
    </row>
    <row r="33" customFormat="false" ht="23.85" hidden="false" customHeight="false" outlineLevel="0" collapsed="false">
      <c r="A33" s="7" t="s">
        <v>212</v>
      </c>
      <c r="B33" s="7" t="s">
        <v>99</v>
      </c>
      <c r="C33" s="7" t="s">
        <v>213</v>
      </c>
      <c r="D33" s="7" t="s">
        <v>214</v>
      </c>
      <c r="E33" s="7" t="s">
        <v>215</v>
      </c>
      <c r="F33" s="7" t="s">
        <v>216</v>
      </c>
      <c r="G33" s="7" t="s">
        <v>211</v>
      </c>
      <c r="H33" s="11" t="s">
        <v>5</v>
      </c>
      <c r="I33" s="7" t="s">
        <v>46</v>
      </c>
    </row>
    <row r="34" customFormat="false" ht="15" hidden="false" customHeight="false" outlineLevel="0" collapsed="false">
      <c r="A34" s="7" t="s">
        <v>217</v>
      </c>
      <c r="B34" s="7" t="s">
        <v>99</v>
      </c>
      <c r="C34" s="7" t="s">
        <v>100</v>
      </c>
      <c r="D34" s="7" t="s">
        <v>218</v>
      </c>
      <c r="E34" s="7" t="s">
        <v>219</v>
      </c>
      <c r="F34" s="7" t="s">
        <v>220</v>
      </c>
      <c r="G34" s="7" t="s">
        <v>221</v>
      </c>
      <c r="H34" s="11" t="s">
        <v>5</v>
      </c>
      <c r="I34" s="7" t="s">
        <v>46</v>
      </c>
    </row>
    <row r="35" customFormat="false" ht="15" hidden="false" customHeight="false" outlineLevel="0" collapsed="false">
      <c r="A35" s="7" t="s">
        <v>222</v>
      </c>
      <c r="B35" s="7" t="s">
        <v>99</v>
      </c>
      <c r="C35" s="7" t="s">
        <v>100</v>
      </c>
      <c r="D35" s="7" t="s">
        <v>223</v>
      </c>
      <c r="E35" s="7" t="s">
        <v>224</v>
      </c>
      <c r="F35" s="7" t="s">
        <v>225</v>
      </c>
      <c r="G35" s="7" t="s">
        <v>226</v>
      </c>
      <c r="H35" s="11" t="s">
        <v>5</v>
      </c>
      <c r="I35" s="7" t="s">
        <v>46</v>
      </c>
    </row>
    <row r="36" customFormat="false" ht="15" hidden="false" customHeight="false" outlineLevel="0" collapsed="false">
      <c r="A36" s="7" t="s">
        <v>227</v>
      </c>
      <c r="B36" s="7" t="s">
        <v>99</v>
      </c>
      <c r="C36" s="7" t="s">
        <v>201</v>
      </c>
      <c r="D36" s="7" t="s">
        <v>228</v>
      </c>
      <c r="E36" s="7" t="s">
        <v>229</v>
      </c>
      <c r="F36" s="7" t="s">
        <v>230</v>
      </c>
      <c r="G36" s="7" t="s">
        <v>231</v>
      </c>
      <c r="H36" s="11" t="s">
        <v>5</v>
      </c>
      <c r="I36" s="7" t="s">
        <v>46</v>
      </c>
    </row>
    <row r="37" customFormat="false" ht="15" hidden="false" customHeight="false" outlineLevel="0" collapsed="false">
      <c r="A37" s="7" t="s">
        <v>232</v>
      </c>
      <c r="B37" s="7" t="s">
        <v>233</v>
      </c>
      <c r="C37" s="7" t="s">
        <v>233</v>
      </c>
      <c r="D37" s="7" t="s">
        <v>234</v>
      </c>
      <c r="E37" s="7" t="s">
        <v>235</v>
      </c>
      <c r="F37" s="7" t="s">
        <v>236</v>
      </c>
      <c r="G37" s="7" t="s">
        <v>237</v>
      </c>
      <c r="H37" s="11" t="s">
        <v>5</v>
      </c>
      <c r="I37" s="7" t="s">
        <v>46</v>
      </c>
    </row>
    <row r="38" customFormat="false" ht="15" hidden="false" customHeight="false" outlineLevel="0" collapsed="false">
      <c r="A38" s="7" t="s">
        <v>238</v>
      </c>
      <c r="B38" s="7" t="s">
        <v>239</v>
      </c>
      <c r="C38" s="7" t="s">
        <v>239</v>
      </c>
      <c r="D38" s="7" t="s">
        <v>240</v>
      </c>
      <c r="E38" s="7" t="s">
        <v>241</v>
      </c>
      <c r="F38" s="7" t="s">
        <v>242</v>
      </c>
      <c r="G38" s="7" t="s">
        <v>243</v>
      </c>
      <c r="H38" s="11" t="s">
        <v>5</v>
      </c>
      <c r="I38" s="7" t="s">
        <v>46</v>
      </c>
    </row>
    <row r="39" customFormat="false" ht="15" hidden="false" customHeight="false" outlineLevel="0" collapsed="false">
      <c r="A39" s="7" t="s">
        <v>244</v>
      </c>
      <c r="B39" s="7" t="s">
        <v>245</v>
      </c>
      <c r="C39" s="7" t="s">
        <v>246</v>
      </c>
      <c r="D39" s="7" t="s">
        <v>247</v>
      </c>
      <c r="E39" s="7" t="s">
        <v>248</v>
      </c>
      <c r="F39" s="7" t="s">
        <v>249</v>
      </c>
      <c r="G39" s="7" t="s">
        <v>250</v>
      </c>
      <c r="H39" s="13" t="s">
        <v>251</v>
      </c>
      <c r="I39" s="8" t="s">
        <v>17</v>
      </c>
    </row>
    <row r="40" customFormat="false" ht="15" hidden="false" customHeight="false" outlineLevel="0" collapsed="false">
      <c r="A40" s="7" t="s">
        <v>252</v>
      </c>
      <c r="B40" s="7" t="s">
        <v>253</v>
      </c>
      <c r="C40" s="7" t="s">
        <v>23</v>
      </c>
      <c r="D40" s="7" t="s">
        <v>254</v>
      </c>
      <c r="E40" s="7" t="s">
        <v>255</v>
      </c>
      <c r="F40" s="7" t="s">
        <v>256</v>
      </c>
      <c r="G40" s="7" t="s">
        <v>257</v>
      </c>
      <c r="H40" s="13" t="s">
        <v>251</v>
      </c>
      <c r="I40" s="8" t="s">
        <v>17</v>
      </c>
    </row>
    <row r="41" customFormat="false" ht="23.85" hidden="false" customHeight="false" outlineLevel="0" collapsed="false">
      <c r="A41" s="7" t="s">
        <v>258</v>
      </c>
      <c r="B41" s="7" t="s">
        <v>259</v>
      </c>
      <c r="C41" s="7" t="s">
        <v>260</v>
      </c>
      <c r="D41" s="7" t="s">
        <v>261</v>
      </c>
      <c r="E41" s="7" t="s">
        <v>262</v>
      </c>
      <c r="F41" s="7" t="s">
        <v>263</v>
      </c>
      <c r="G41" s="7" t="s">
        <v>264</v>
      </c>
      <c r="H41" s="13" t="s">
        <v>251</v>
      </c>
      <c r="I41" s="9" t="s">
        <v>27</v>
      </c>
    </row>
    <row r="42" customFormat="false" ht="15" hidden="false" customHeight="false" outlineLevel="0" collapsed="false">
      <c r="A42" s="7" t="s">
        <v>265</v>
      </c>
      <c r="B42" s="7" t="s">
        <v>99</v>
      </c>
      <c r="C42" s="7" t="s">
        <v>266</v>
      </c>
      <c r="D42" s="7" t="s">
        <v>267</v>
      </c>
      <c r="E42" s="7" t="s">
        <v>268</v>
      </c>
      <c r="F42" s="7" t="s">
        <v>269</v>
      </c>
      <c r="G42" s="7" t="s">
        <v>270</v>
      </c>
      <c r="H42" s="13" t="s">
        <v>251</v>
      </c>
      <c r="I42" s="10" t="s">
        <v>31</v>
      </c>
    </row>
    <row r="43" customFormat="false" ht="23.85" hidden="false" customHeight="false" outlineLevel="0" collapsed="false">
      <c r="A43" s="7" t="s">
        <v>271</v>
      </c>
      <c r="B43" s="7" t="s">
        <v>99</v>
      </c>
      <c r="C43" s="7" t="s">
        <v>272</v>
      </c>
      <c r="D43" s="7" t="s">
        <v>273</v>
      </c>
      <c r="E43" s="7" t="s">
        <v>274</v>
      </c>
      <c r="F43" s="7" t="s">
        <v>275</v>
      </c>
      <c r="G43" s="7" t="s">
        <v>276</v>
      </c>
      <c r="H43" s="13" t="s">
        <v>251</v>
      </c>
      <c r="I43" s="8" t="s">
        <v>17</v>
      </c>
    </row>
  </sheetData>
  <autoFilter ref="A1:I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7" min="6" style="0" width="14"/>
    <col collapsed="false" customWidth="true" hidden="false" outlineLevel="0" max="9" min="8" style="0" width="16"/>
    <col collapsed="false" customWidth="true" hidden="false" outlineLevel="0" max="10" min="10" style="0" width="18"/>
  </cols>
  <sheetData>
    <row r="1" customFormat="false" ht="26.85" hidden="false" customHeight="false" outlineLevel="0" collapsed="false">
      <c r="A1" s="4" t="s">
        <v>33</v>
      </c>
      <c r="B1" s="4" t="s">
        <v>34</v>
      </c>
      <c r="C1" s="4" t="s">
        <v>277</v>
      </c>
      <c r="D1" s="4" t="s">
        <v>278</v>
      </c>
      <c r="E1" s="4" t="s">
        <v>136</v>
      </c>
      <c r="F1" s="4" t="s">
        <v>279</v>
      </c>
      <c r="G1" s="4" t="s">
        <v>280</v>
      </c>
      <c r="H1" s="4" t="s">
        <v>281</v>
      </c>
      <c r="I1" s="4" t="s">
        <v>282</v>
      </c>
      <c r="J1" s="4" t="s">
        <v>283</v>
      </c>
    </row>
    <row r="2" customFormat="false" ht="15" hidden="false" customHeight="false" outlineLevel="0" collapsed="false">
      <c r="A2" s="7" t="s">
        <v>99</v>
      </c>
      <c r="B2" s="7" t="s">
        <v>284</v>
      </c>
      <c r="C2" s="14" t="s">
        <v>285</v>
      </c>
      <c r="D2" s="14" t="s">
        <v>286</v>
      </c>
      <c r="E2" s="14" t="s">
        <v>285</v>
      </c>
      <c r="F2" s="14" t="s">
        <v>285</v>
      </c>
      <c r="G2" s="14" t="s">
        <v>286</v>
      </c>
      <c r="H2" s="7" t="s">
        <v>287</v>
      </c>
      <c r="I2" s="14" t="s">
        <v>286</v>
      </c>
      <c r="J2" s="7" t="s">
        <v>46</v>
      </c>
    </row>
    <row r="3" customFormat="false" ht="15" hidden="false" customHeight="false" outlineLevel="0" collapsed="false">
      <c r="A3" s="7" t="s">
        <v>99</v>
      </c>
      <c r="B3" s="7" t="s">
        <v>288</v>
      </c>
      <c r="C3" s="14" t="s">
        <v>285</v>
      </c>
      <c r="D3" s="14" t="s">
        <v>286</v>
      </c>
      <c r="E3" s="14" t="s">
        <v>285</v>
      </c>
      <c r="F3" s="14" t="s">
        <v>285</v>
      </c>
      <c r="G3" s="7" t="s">
        <v>46</v>
      </c>
      <c r="H3" s="14" t="s">
        <v>286</v>
      </c>
      <c r="I3" s="14" t="s">
        <v>286</v>
      </c>
      <c r="J3" s="7" t="s">
        <v>46</v>
      </c>
    </row>
    <row r="4" customFormat="false" ht="15" hidden="false" customHeight="false" outlineLevel="0" collapsed="false">
      <c r="A4" s="7" t="s">
        <v>99</v>
      </c>
      <c r="B4" s="7" t="s">
        <v>289</v>
      </c>
      <c r="C4" s="14" t="s">
        <v>48</v>
      </c>
      <c r="D4" s="14" t="s">
        <v>286</v>
      </c>
      <c r="E4" s="7" t="s">
        <v>46</v>
      </c>
      <c r="F4" s="7" t="s">
        <v>46</v>
      </c>
      <c r="G4" s="7" t="s">
        <v>46</v>
      </c>
      <c r="H4" s="7" t="s">
        <v>290</v>
      </c>
      <c r="I4" s="7" t="s">
        <v>290</v>
      </c>
      <c r="J4" s="7" t="s">
        <v>46</v>
      </c>
    </row>
    <row r="5" customFormat="false" ht="15" hidden="false" customHeight="false" outlineLevel="0" collapsed="false">
      <c r="A5" s="7" t="s">
        <v>99</v>
      </c>
      <c r="B5" s="7" t="s">
        <v>291</v>
      </c>
      <c r="C5" s="14" t="s">
        <v>285</v>
      </c>
      <c r="D5" s="14" t="s">
        <v>286</v>
      </c>
      <c r="E5" s="14" t="s">
        <v>285</v>
      </c>
      <c r="F5" s="14" t="s">
        <v>285</v>
      </c>
      <c r="G5" s="7" t="s">
        <v>46</v>
      </c>
      <c r="H5" s="14" t="s">
        <v>286</v>
      </c>
      <c r="I5" s="14" t="s">
        <v>286</v>
      </c>
      <c r="J5" s="7" t="s">
        <v>292</v>
      </c>
    </row>
    <row r="6" customFormat="false" ht="15" hidden="false" customHeight="false" outlineLevel="0" collapsed="false">
      <c r="A6" s="7" t="s">
        <v>99</v>
      </c>
      <c r="B6" s="7" t="s">
        <v>293</v>
      </c>
      <c r="C6" s="14" t="s">
        <v>48</v>
      </c>
      <c r="D6" s="14" t="s">
        <v>286</v>
      </c>
      <c r="E6" s="14" t="s">
        <v>48</v>
      </c>
      <c r="F6" s="7" t="s">
        <v>46</v>
      </c>
      <c r="G6" s="7" t="s">
        <v>46</v>
      </c>
      <c r="H6" s="14" t="s">
        <v>286</v>
      </c>
      <c r="I6" s="14" t="s">
        <v>286</v>
      </c>
      <c r="J6" s="14" t="s">
        <v>294</v>
      </c>
    </row>
    <row r="7" customFormat="false" ht="15" hidden="false" customHeight="false" outlineLevel="0" collapsed="false">
      <c r="A7" s="7" t="s">
        <v>99</v>
      </c>
      <c r="B7" s="7" t="s">
        <v>295</v>
      </c>
      <c r="C7" s="14" t="s">
        <v>296</v>
      </c>
      <c r="D7" s="14" t="s">
        <v>286</v>
      </c>
      <c r="E7" s="7" t="s">
        <v>46</v>
      </c>
      <c r="F7" s="7" t="s">
        <v>46</v>
      </c>
      <c r="G7" s="7" t="s">
        <v>46</v>
      </c>
      <c r="H7" s="7" t="s">
        <v>290</v>
      </c>
      <c r="I7" s="7" t="s">
        <v>290</v>
      </c>
      <c r="J7" s="14" t="s">
        <v>297</v>
      </c>
    </row>
    <row r="8" customFormat="false" ht="15" hidden="false" customHeight="false" outlineLevel="0" collapsed="false">
      <c r="A8" s="7" t="s">
        <v>99</v>
      </c>
      <c r="B8" s="7" t="s">
        <v>298</v>
      </c>
      <c r="C8" s="14" t="s">
        <v>48</v>
      </c>
      <c r="D8" s="14" t="s">
        <v>286</v>
      </c>
      <c r="E8" s="7" t="s">
        <v>46</v>
      </c>
      <c r="F8" s="7" t="s">
        <v>46</v>
      </c>
      <c r="G8" s="7" t="s">
        <v>46</v>
      </c>
      <c r="H8" s="7" t="s">
        <v>46</v>
      </c>
      <c r="I8" s="7" t="s">
        <v>46</v>
      </c>
      <c r="J8" s="7" t="s">
        <v>46</v>
      </c>
    </row>
    <row r="9" customFormat="false" ht="15" hidden="false" customHeight="false" outlineLevel="0" collapsed="false">
      <c r="A9" s="7" t="s">
        <v>253</v>
      </c>
      <c r="B9" s="7" t="s">
        <v>299</v>
      </c>
      <c r="C9" s="14" t="s">
        <v>48</v>
      </c>
      <c r="D9" s="14" t="s">
        <v>286</v>
      </c>
      <c r="E9" s="14" t="s">
        <v>48</v>
      </c>
      <c r="F9" s="7" t="s">
        <v>46</v>
      </c>
      <c r="G9" s="7" t="s">
        <v>46</v>
      </c>
      <c r="H9" s="7" t="s">
        <v>46</v>
      </c>
      <c r="I9" s="7" t="s">
        <v>46</v>
      </c>
      <c r="J9" s="7" t="s">
        <v>46</v>
      </c>
    </row>
    <row r="10" customFormat="false" ht="15" hidden="false" customHeight="false" outlineLevel="0" collapsed="false">
      <c r="A10" s="7" t="s">
        <v>253</v>
      </c>
      <c r="B10" s="7" t="s">
        <v>300</v>
      </c>
      <c r="C10" s="14" t="s">
        <v>48</v>
      </c>
      <c r="D10" s="14" t="s">
        <v>286</v>
      </c>
      <c r="E10" s="7" t="s">
        <v>46</v>
      </c>
      <c r="F10" s="7" t="s">
        <v>46</v>
      </c>
      <c r="G10" s="7" t="s">
        <v>301</v>
      </c>
      <c r="H10" s="7" t="s">
        <v>46</v>
      </c>
      <c r="I10" s="7" t="s">
        <v>46</v>
      </c>
      <c r="J10" s="7" t="s">
        <v>46</v>
      </c>
    </row>
    <row r="11" customFormat="false" ht="15" hidden="false" customHeight="false" outlineLevel="0" collapsed="false">
      <c r="A11" s="7" t="s">
        <v>253</v>
      </c>
      <c r="B11" s="7" t="s">
        <v>23</v>
      </c>
      <c r="C11" s="13" t="s">
        <v>251</v>
      </c>
      <c r="D11" s="14" t="s">
        <v>286</v>
      </c>
      <c r="E11" s="7" t="s">
        <v>46</v>
      </c>
      <c r="F11" s="7" t="s">
        <v>46</v>
      </c>
      <c r="G11" s="7" t="s">
        <v>46</v>
      </c>
      <c r="H11" s="7" t="s">
        <v>46</v>
      </c>
      <c r="I11" s="7" t="s">
        <v>46</v>
      </c>
      <c r="J11" s="7" t="s">
        <v>46</v>
      </c>
    </row>
    <row r="12" customFormat="false" ht="15" hidden="false" customHeight="false" outlineLevel="0" collapsed="false">
      <c r="A12" s="7" t="s">
        <v>302</v>
      </c>
      <c r="B12" s="7" t="s">
        <v>303</v>
      </c>
      <c r="C12" s="14" t="s">
        <v>48</v>
      </c>
      <c r="D12" s="14" t="s">
        <v>286</v>
      </c>
      <c r="E12" s="7" t="s">
        <v>46</v>
      </c>
      <c r="F12" s="7" t="s">
        <v>46</v>
      </c>
      <c r="G12" s="7" t="s">
        <v>46</v>
      </c>
      <c r="H12" s="7" t="s">
        <v>46</v>
      </c>
      <c r="I12" s="7" t="s">
        <v>46</v>
      </c>
      <c r="J12" s="7" t="s">
        <v>46</v>
      </c>
    </row>
    <row r="13" customFormat="false" ht="15" hidden="false" customHeight="false" outlineLevel="0" collapsed="false">
      <c r="A13" s="7" t="s">
        <v>302</v>
      </c>
      <c r="B13" s="7" t="s">
        <v>304</v>
      </c>
      <c r="C13" s="14" t="s">
        <v>48</v>
      </c>
      <c r="D13" s="14" t="s">
        <v>286</v>
      </c>
      <c r="E13" s="7" t="s">
        <v>46</v>
      </c>
      <c r="F13" s="7" t="s">
        <v>46</v>
      </c>
      <c r="G13" s="7" t="s">
        <v>305</v>
      </c>
      <c r="H13" s="7" t="s">
        <v>46</v>
      </c>
      <c r="I13" s="7" t="s">
        <v>46</v>
      </c>
      <c r="J13" s="7" t="s">
        <v>46</v>
      </c>
    </row>
    <row r="14" customFormat="false" ht="15" hidden="false" customHeight="false" outlineLevel="0" collapsed="false">
      <c r="A14" s="7" t="s">
        <v>302</v>
      </c>
      <c r="B14" s="7" t="s">
        <v>306</v>
      </c>
      <c r="C14" s="14" t="s">
        <v>48</v>
      </c>
      <c r="D14" s="14" t="s">
        <v>286</v>
      </c>
      <c r="E14" s="7" t="s">
        <v>46</v>
      </c>
      <c r="F14" s="7" t="s">
        <v>46</v>
      </c>
      <c r="G14" s="7" t="s">
        <v>46</v>
      </c>
      <c r="H14" s="7" t="s">
        <v>46</v>
      </c>
      <c r="I14" s="7" t="s">
        <v>46</v>
      </c>
      <c r="J14" s="7" t="s">
        <v>46</v>
      </c>
    </row>
    <row r="15" customFormat="false" ht="15" hidden="false" customHeight="false" outlineLevel="0" collapsed="false">
      <c r="A15" s="7" t="s">
        <v>302</v>
      </c>
      <c r="B15" s="7" t="s">
        <v>307</v>
      </c>
      <c r="C15" s="14" t="s">
        <v>48</v>
      </c>
      <c r="D15" s="14" t="s">
        <v>286</v>
      </c>
      <c r="E15" s="7" t="s">
        <v>46</v>
      </c>
      <c r="F15" s="7" t="s">
        <v>46</v>
      </c>
      <c r="G15" s="7" t="s">
        <v>46</v>
      </c>
      <c r="H15" s="7" t="s">
        <v>46</v>
      </c>
      <c r="I15" s="7" t="s">
        <v>46</v>
      </c>
      <c r="J15" s="7" t="s">
        <v>46</v>
      </c>
    </row>
    <row r="16" customFormat="false" ht="15" hidden="false" customHeight="false" outlineLevel="0" collapsed="false">
      <c r="A16" s="7" t="s">
        <v>302</v>
      </c>
      <c r="B16" s="7" t="s">
        <v>308</v>
      </c>
      <c r="C16" s="14" t="s">
        <v>48</v>
      </c>
      <c r="D16" s="14" t="s">
        <v>286</v>
      </c>
      <c r="E16" s="7" t="s">
        <v>46</v>
      </c>
      <c r="F16" s="7" t="s">
        <v>46</v>
      </c>
      <c r="G16" s="7" t="s">
        <v>46</v>
      </c>
      <c r="H16" s="7" t="s">
        <v>46</v>
      </c>
      <c r="I16" s="7" t="s">
        <v>46</v>
      </c>
      <c r="J16" s="7" t="s">
        <v>46</v>
      </c>
    </row>
    <row r="17" customFormat="false" ht="15" hidden="false" customHeight="false" outlineLevel="0" collapsed="false">
      <c r="A17" s="7" t="s">
        <v>302</v>
      </c>
      <c r="B17" s="7" t="s">
        <v>309</v>
      </c>
      <c r="C17" s="14" t="s">
        <v>48</v>
      </c>
      <c r="D17" s="14" t="s">
        <v>286</v>
      </c>
      <c r="E17" s="7" t="s">
        <v>46</v>
      </c>
      <c r="F17" s="7" t="s">
        <v>46</v>
      </c>
      <c r="G17" s="7" t="s">
        <v>46</v>
      </c>
      <c r="H17" s="7" t="s">
        <v>46</v>
      </c>
      <c r="I17" s="7" t="s">
        <v>46</v>
      </c>
      <c r="J17" s="7" t="s">
        <v>46</v>
      </c>
    </row>
    <row r="18" customFormat="false" ht="15" hidden="false" customHeight="false" outlineLevel="0" collapsed="false">
      <c r="A18" s="7" t="s">
        <v>302</v>
      </c>
      <c r="B18" s="7" t="s">
        <v>310</v>
      </c>
      <c r="C18" s="14" t="s">
        <v>48</v>
      </c>
      <c r="D18" s="14" t="s">
        <v>286</v>
      </c>
      <c r="E18" s="7" t="s">
        <v>46</v>
      </c>
      <c r="F18" s="7" t="s">
        <v>46</v>
      </c>
      <c r="G18" s="7" t="s">
        <v>46</v>
      </c>
      <c r="H18" s="7" t="s">
        <v>46</v>
      </c>
      <c r="I18" s="7" t="s">
        <v>46</v>
      </c>
      <c r="J18" s="7" t="s">
        <v>46</v>
      </c>
    </row>
    <row r="19" customFormat="false" ht="23.85" hidden="false" customHeight="false" outlineLevel="0" collapsed="false">
      <c r="A19" s="7" t="s">
        <v>311</v>
      </c>
      <c r="B19" s="7" t="s">
        <v>312</v>
      </c>
      <c r="C19" s="14" t="s">
        <v>48</v>
      </c>
      <c r="D19" s="14" t="s">
        <v>286</v>
      </c>
      <c r="E19" s="7" t="s">
        <v>46</v>
      </c>
      <c r="F19" s="7" t="s">
        <v>46</v>
      </c>
      <c r="G19" s="7" t="s">
        <v>46</v>
      </c>
      <c r="H19" s="7" t="s">
        <v>290</v>
      </c>
      <c r="I19" s="7" t="s">
        <v>290</v>
      </c>
      <c r="J19" s="7" t="s">
        <v>313</v>
      </c>
    </row>
    <row r="20" customFormat="false" ht="15" hidden="false" customHeight="false" outlineLevel="0" collapsed="false">
      <c r="A20" s="7" t="s">
        <v>311</v>
      </c>
      <c r="B20" s="7" t="s">
        <v>314</v>
      </c>
      <c r="C20" s="14" t="s">
        <v>48</v>
      </c>
      <c r="D20" s="14" t="s">
        <v>286</v>
      </c>
      <c r="E20" s="7" t="s">
        <v>46</v>
      </c>
      <c r="F20" s="7" t="s">
        <v>46</v>
      </c>
      <c r="G20" s="7" t="s">
        <v>46</v>
      </c>
      <c r="H20" s="7" t="s">
        <v>46</v>
      </c>
      <c r="I20" s="7" t="s">
        <v>46</v>
      </c>
      <c r="J20" s="7" t="s">
        <v>46</v>
      </c>
    </row>
    <row r="21" customFormat="false" ht="15" hidden="false" customHeight="false" outlineLevel="0" collapsed="false">
      <c r="A21" s="7" t="s">
        <v>311</v>
      </c>
      <c r="B21" s="7" t="s">
        <v>315</v>
      </c>
      <c r="C21" s="14" t="s">
        <v>48</v>
      </c>
      <c r="D21" s="14" t="s">
        <v>286</v>
      </c>
      <c r="E21" s="7" t="s">
        <v>46</v>
      </c>
      <c r="F21" s="7" t="s">
        <v>46</v>
      </c>
      <c r="G21" s="7" t="s">
        <v>46</v>
      </c>
      <c r="H21" s="7" t="s">
        <v>46</v>
      </c>
      <c r="I21" s="7" t="s">
        <v>287</v>
      </c>
      <c r="J21" s="7" t="s">
        <v>46</v>
      </c>
    </row>
    <row r="22" customFormat="false" ht="15" hidden="false" customHeight="false" outlineLevel="0" collapsed="false">
      <c r="A22" s="7" t="s">
        <v>316</v>
      </c>
      <c r="B22" s="7" t="s">
        <v>317</v>
      </c>
      <c r="C22" s="14" t="s">
        <v>48</v>
      </c>
      <c r="D22" s="14" t="s">
        <v>286</v>
      </c>
      <c r="E22" s="7" t="s">
        <v>46</v>
      </c>
      <c r="F22" s="7" t="s">
        <v>46</v>
      </c>
      <c r="G22" s="7" t="s">
        <v>46</v>
      </c>
      <c r="H22" s="14" t="s">
        <v>286</v>
      </c>
      <c r="I22" s="7" t="s">
        <v>46</v>
      </c>
      <c r="J22" s="7" t="s">
        <v>46</v>
      </c>
    </row>
    <row r="23" customFormat="false" ht="15" hidden="false" customHeight="false" outlineLevel="0" collapsed="false">
      <c r="A23" s="7" t="s">
        <v>316</v>
      </c>
      <c r="B23" s="7" t="s">
        <v>318</v>
      </c>
      <c r="C23" s="14" t="s">
        <v>48</v>
      </c>
      <c r="D23" s="14" t="s">
        <v>286</v>
      </c>
      <c r="E23" s="7" t="s">
        <v>46</v>
      </c>
      <c r="F23" s="7" t="s">
        <v>46</v>
      </c>
      <c r="G23" s="7" t="s">
        <v>46</v>
      </c>
      <c r="H23" s="7" t="s">
        <v>290</v>
      </c>
      <c r="I23" s="7" t="s">
        <v>46</v>
      </c>
      <c r="J23" s="7" t="s">
        <v>46</v>
      </c>
    </row>
    <row r="24" customFormat="false" ht="15" hidden="false" customHeight="false" outlineLevel="0" collapsed="false">
      <c r="A24" s="7" t="s">
        <v>316</v>
      </c>
      <c r="B24" s="7" t="s">
        <v>319</v>
      </c>
      <c r="C24" s="14" t="s">
        <v>48</v>
      </c>
      <c r="D24" s="14" t="s">
        <v>286</v>
      </c>
      <c r="E24" s="7" t="s">
        <v>46</v>
      </c>
      <c r="F24" s="7" t="s">
        <v>46</v>
      </c>
      <c r="G24" s="7" t="s">
        <v>301</v>
      </c>
      <c r="H24" s="7" t="s">
        <v>46</v>
      </c>
      <c r="I24" s="7" t="s">
        <v>46</v>
      </c>
      <c r="J24" s="7" t="s">
        <v>46</v>
      </c>
    </row>
    <row r="25" customFormat="false" ht="15" hidden="false" customHeight="false" outlineLevel="0" collapsed="false">
      <c r="A25" s="7" t="s">
        <v>316</v>
      </c>
      <c r="B25" s="7" t="s">
        <v>320</v>
      </c>
      <c r="C25" s="14" t="s">
        <v>48</v>
      </c>
      <c r="D25" s="14" t="s">
        <v>286</v>
      </c>
      <c r="E25" s="7" t="s">
        <v>46</v>
      </c>
      <c r="F25" s="7" t="s">
        <v>46</v>
      </c>
      <c r="G25" s="7" t="s">
        <v>305</v>
      </c>
      <c r="H25" s="7" t="s">
        <v>46</v>
      </c>
      <c r="I25" s="7" t="s">
        <v>46</v>
      </c>
      <c r="J25" s="7" t="s">
        <v>46</v>
      </c>
    </row>
    <row r="26" customFormat="false" ht="15" hidden="false" customHeight="false" outlineLevel="0" collapsed="false">
      <c r="A26" s="7" t="s">
        <v>316</v>
      </c>
      <c r="B26" s="7" t="s">
        <v>321</v>
      </c>
      <c r="C26" s="14" t="s">
        <v>48</v>
      </c>
      <c r="D26" s="14" t="s">
        <v>286</v>
      </c>
      <c r="E26" s="7" t="s">
        <v>46</v>
      </c>
      <c r="F26" s="7" t="s">
        <v>46</v>
      </c>
      <c r="G26" s="7" t="s">
        <v>46</v>
      </c>
      <c r="H26" s="14" t="s">
        <v>286</v>
      </c>
      <c r="I26" s="14" t="s">
        <v>286</v>
      </c>
      <c r="J26" s="7" t="s">
        <v>46</v>
      </c>
    </row>
    <row r="27" customFormat="false" ht="15" hidden="false" customHeight="false" outlineLevel="0" collapsed="false">
      <c r="A27" s="7" t="s">
        <v>316</v>
      </c>
      <c r="B27" s="7" t="s">
        <v>322</v>
      </c>
      <c r="C27" s="14" t="s">
        <v>48</v>
      </c>
      <c r="D27" s="14" t="s">
        <v>286</v>
      </c>
      <c r="E27" s="7" t="s">
        <v>46</v>
      </c>
      <c r="F27" s="7" t="s">
        <v>46</v>
      </c>
      <c r="G27" s="7" t="s">
        <v>46</v>
      </c>
      <c r="H27" s="7" t="s">
        <v>290</v>
      </c>
      <c r="I27" s="7" t="s">
        <v>290</v>
      </c>
      <c r="J27" s="7" t="s">
        <v>46</v>
      </c>
    </row>
    <row r="28" customFormat="false" ht="15" hidden="false" customHeight="false" outlineLevel="0" collapsed="false">
      <c r="A28" s="7" t="s">
        <v>245</v>
      </c>
      <c r="B28" s="7" t="s">
        <v>323</v>
      </c>
      <c r="C28" s="14" t="s">
        <v>48</v>
      </c>
      <c r="D28" s="14" t="s">
        <v>286</v>
      </c>
      <c r="E28" s="7" t="s">
        <v>46</v>
      </c>
      <c r="F28" s="7" t="s">
        <v>46</v>
      </c>
      <c r="G28" s="7" t="s">
        <v>46</v>
      </c>
      <c r="H28" s="7" t="s">
        <v>46</v>
      </c>
      <c r="I28" s="7" t="s">
        <v>46</v>
      </c>
      <c r="J28" s="7" t="s">
        <v>46</v>
      </c>
    </row>
    <row r="29" customFormat="false" ht="15" hidden="false" customHeight="false" outlineLevel="0" collapsed="false">
      <c r="A29" s="7" t="s">
        <v>245</v>
      </c>
      <c r="B29" s="7" t="s">
        <v>324</v>
      </c>
      <c r="C29" s="14" t="s">
        <v>48</v>
      </c>
      <c r="D29" s="14" t="s">
        <v>286</v>
      </c>
      <c r="E29" s="7" t="s">
        <v>46</v>
      </c>
      <c r="F29" s="7" t="s">
        <v>46</v>
      </c>
      <c r="G29" s="7" t="s">
        <v>46</v>
      </c>
      <c r="H29" s="7" t="s">
        <v>46</v>
      </c>
      <c r="I29" s="7" t="s">
        <v>46</v>
      </c>
      <c r="J29" s="7" t="s">
        <v>46</v>
      </c>
    </row>
    <row r="30" customFormat="false" ht="15" hidden="false" customHeight="false" outlineLevel="0" collapsed="false">
      <c r="A30" s="7" t="s">
        <v>245</v>
      </c>
      <c r="B30" s="7" t="s">
        <v>325</v>
      </c>
      <c r="C30" s="14" t="s">
        <v>48</v>
      </c>
      <c r="D30" s="14" t="s">
        <v>286</v>
      </c>
      <c r="E30" s="7" t="s">
        <v>46</v>
      </c>
      <c r="F30" s="7" t="s">
        <v>46</v>
      </c>
      <c r="G30" s="7" t="s">
        <v>46</v>
      </c>
      <c r="H30" s="7" t="s">
        <v>46</v>
      </c>
      <c r="I30" s="7" t="s">
        <v>46</v>
      </c>
      <c r="J30" s="7" t="s">
        <v>46</v>
      </c>
    </row>
    <row r="31" customFormat="false" ht="15" hidden="false" customHeight="false" outlineLevel="0" collapsed="false">
      <c r="A31" s="7" t="s">
        <v>245</v>
      </c>
      <c r="B31" s="7" t="s">
        <v>326</v>
      </c>
      <c r="C31" s="14" t="s">
        <v>48</v>
      </c>
      <c r="D31" s="14" t="s">
        <v>286</v>
      </c>
      <c r="E31" s="7" t="s">
        <v>46</v>
      </c>
      <c r="F31" s="7" t="s">
        <v>46</v>
      </c>
      <c r="G31" s="7" t="s">
        <v>46</v>
      </c>
      <c r="H31" s="7" t="s">
        <v>46</v>
      </c>
      <c r="I31" s="7" t="s">
        <v>46</v>
      </c>
      <c r="J31" s="7" t="s">
        <v>46</v>
      </c>
    </row>
    <row r="32" customFormat="false" ht="23.85" hidden="false" customHeight="false" outlineLevel="0" collapsed="false">
      <c r="A32" s="7" t="s">
        <v>245</v>
      </c>
      <c r="B32" s="7" t="s">
        <v>246</v>
      </c>
      <c r="C32" s="13" t="s">
        <v>327</v>
      </c>
      <c r="D32" s="14" t="s">
        <v>286</v>
      </c>
      <c r="E32" s="7" t="s">
        <v>46</v>
      </c>
      <c r="F32" s="7" t="s">
        <v>46</v>
      </c>
      <c r="G32" s="7" t="s">
        <v>46</v>
      </c>
      <c r="H32" s="7" t="s">
        <v>46</v>
      </c>
      <c r="I32" s="7" t="s">
        <v>46</v>
      </c>
      <c r="J32" s="7" t="s">
        <v>46</v>
      </c>
    </row>
  </sheetData>
  <autoFilter ref="A1:J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52"/>
    <col collapsed="false" customWidth="true" hidden="false" outlineLevel="0" max="4" min="4" style="0" width="48"/>
    <col collapsed="false" customWidth="true" hidden="false" outlineLevel="0" max="6" min="5" style="0" width="10"/>
  </cols>
  <sheetData>
    <row r="1" customFormat="false" ht="17.35" hidden="false" customHeight="false" outlineLevel="0" collapsed="false">
      <c r="A1" s="15" t="s">
        <v>328</v>
      </c>
    </row>
    <row r="2" customFormat="false" ht="15" hidden="false" customHeight="false" outlineLevel="0" collapsed="false">
      <c r="A2" s="2" t="s">
        <v>329</v>
      </c>
    </row>
    <row r="4" customFormat="false" ht="15" hidden="false" customHeight="false" outlineLevel="0" collapsed="false">
      <c r="A4" s="4" t="s">
        <v>11</v>
      </c>
      <c r="B4" s="4" t="s">
        <v>12</v>
      </c>
      <c r="C4" s="4" t="s">
        <v>330</v>
      </c>
      <c r="D4" s="4" t="s">
        <v>331</v>
      </c>
      <c r="E4" s="4" t="s">
        <v>13</v>
      </c>
      <c r="F4" s="4" t="s">
        <v>3</v>
      </c>
    </row>
    <row r="5" customFormat="false" ht="23.85" hidden="false" customHeight="false" outlineLevel="0" collapsed="false">
      <c r="A5" s="7" t="s">
        <v>332</v>
      </c>
      <c r="B5" s="7" t="s">
        <v>333</v>
      </c>
      <c r="C5" s="7" t="s">
        <v>334</v>
      </c>
      <c r="D5" s="7" t="s">
        <v>335</v>
      </c>
      <c r="E5" s="8" t="s">
        <v>17</v>
      </c>
      <c r="F5" s="16" t="s">
        <v>8</v>
      </c>
    </row>
    <row r="6" customFormat="false" ht="23.85" hidden="false" customHeight="false" outlineLevel="0" collapsed="false">
      <c r="A6" s="7" t="s">
        <v>336</v>
      </c>
      <c r="B6" s="7" t="s">
        <v>337</v>
      </c>
      <c r="C6" s="7" t="s">
        <v>338</v>
      </c>
      <c r="D6" s="7" t="s">
        <v>339</v>
      </c>
      <c r="E6" s="8" t="s">
        <v>17</v>
      </c>
      <c r="F6" s="16" t="s">
        <v>8</v>
      </c>
    </row>
    <row r="7" customFormat="false" ht="23.85" hidden="false" customHeight="false" outlineLevel="0" collapsed="false">
      <c r="A7" s="7" t="s">
        <v>340</v>
      </c>
      <c r="B7" s="7" t="s">
        <v>341</v>
      </c>
      <c r="C7" s="7" t="s">
        <v>342</v>
      </c>
      <c r="D7" s="7" t="s">
        <v>343</v>
      </c>
      <c r="E7" s="9" t="s">
        <v>27</v>
      </c>
      <c r="F7" s="16" t="s">
        <v>8</v>
      </c>
    </row>
    <row r="8" customFormat="false" ht="23.85" hidden="false" customHeight="false" outlineLevel="0" collapsed="false">
      <c r="A8" s="7" t="s">
        <v>344</v>
      </c>
      <c r="B8" s="7" t="s">
        <v>345</v>
      </c>
      <c r="C8" s="7" t="s">
        <v>346</v>
      </c>
      <c r="D8" s="7" t="s">
        <v>347</v>
      </c>
      <c r="E8" s="9" t="s">
        <v>27</v>
      </c>
      <c r="F8" s="16" t="s">
        <v>8</v>
      </c>
    </row>
    <row r="9" customFormat="false" ht="23.85" hidden="false" customHeight="false" outlineLevel="0" collapsed="false">
      <c r="A9" s="7" t="s">
        <v>348</v>
      </c>
      <c r="B9" s="7" t="s">
        <v>349</v>
      </c>
      <c r="C9" s="7" t="s">
        <v>350</v>
      </c>
      <c r="D9" s="7" t="s">
        <v>351</v>
      </c>
      <c r="E9" s="10" t="s">
        <v>31</v>
      </c>
      <c r="F9" s="16" t="s">
        <v>8</v>
      </c>
    </row>
    <row r="10" customFormat="false" ht="23.85" hidden="false" customHeight="false" outlineLevel="0" collapsed="false">
      <c r="A10" s="7" t="s">
        <v>352</v>
      </c>
      <c r="B10" s="7" t="s">
        <v>353</v>
      </c>
      <c r="C10" s="7" t="s">
        <v>354</v>
      </c>
      <c r="D10" s="7" t="s">
        <v>355</v>
      </c>
      <c r="E10" s="10" t="s">
        <v>31</v>
      </c>
      <c r="F10" s="16" t="s">
        <v>8</v>
      </c>
    </row>
    <row r="11" customFormat="false" ht="23.85" hidden="false" customHeight="false" outlineLevel="0" collapsed="false">
      <c r="A11" s="7" t="s">
        <v>356</v>
      </c>
      <c r="B11" s="7" t="s">
        <v>357</v>
      </c>
      <c r="C11" s="7" t="s">
        <v>358</v>
      </c>
      <c r="D11" s="7" t="s">
        <v>359</v>
      </c>
      <c r="E11" s="8" t="s">
        <v>17</v>
      </c>
      <c r="F11" s="16" t="s">
        <v>8</v>
      </c>
    </row>
    <row r="12" customFormat="false" ht="23.85" hidden="false" customHeight="false" outlineLevel="0" collapsed="false">
      <c r="A12" s="7" t="s">
        <v>360</v>
      </c>
      <c r="B12" s="7" t="s">
        <v>361</v>
      </c>
      <c r="C12" s="7" t="s">
        <v>362</v>
      </c>
      <c r="D12" s="7" t="s">
        <v>363</v>
      </c>
      <c r="E12" s="8" t="s">
        <v>17</v>
      </c>
      <c r="F12" s="16" t="s">
        <v>8</v>
      </c>
    </row>
    <row r="13" customFormat="false" ht="23.85" hidden="false" customHeight="false" outlineLevel="0" collapsed="false">
      <c r="A13" s="7" t="s">
        <v>364</v>
      </c>
      <c r="B13" s="7" t="s">
        <v>365</v>
      </c>
      <c r="C13" s="7" t="s">
        <v>366</v>
      </c>
      <c r="D13" s="7" t="s">
        <v>367</v>
      </c>
      <c r="E13" s="8" t="s">
        <v>17</v>
      </c>
      <c r="F13" s="16" t="s">
        <v>8</v>
      </c>
    </row>
    <row r="14" customFormat="false" ht="23.85" hidden="false" customHeight="false" outlineLevel="0" collapsed="false">
      <c r="A14" s="7" t="s">
        <v>368</v>
      </c>
      <c r="B14" s="7" t="s">
        <v>369</v>
      </c>
      <c r="C14" s="7" t="s">
        <v>370</v>
      </c>
      <c r="D14" s="7" t="s">
        <v>371</v>
      </c>
      <c r="E14" s="9" t="s">
        <v>27</v>
      </c>
      <c r="F14" s="16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2026-07-01T15:27:52Z</dcterms:created>
  <dc:creator>openpyxl</dc:creator>
  <dc:description/>
  <dc:language>en-US</dc:language>
  <cp:lastModifiedBy/>
  <dcterms:modified xsi:type="dcterms:W3CDTF">2026-07-01T15:27:52Z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